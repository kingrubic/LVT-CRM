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Backlog" sheetId="2" r:id="rId5"/>
    <sheet state="visible" name="Phan quyen" sheetId="3" r:id="rId6"/>
    <sheet state="visible" name="Dau vao can chot" sheetId="4" r:id="rId7"/>
    <sheet state="visible" name="Danh muc" sheetId="5" r:id="rId8"/>
    <sheet state="visible" name="Huong dan" sheetId="6" r:id="rId9"/>
  </sheets>
  <definedNames/>
  <calcPr/>
  <extLst>
    <ext uri="GoogleSheetsCustomDataVersion2">
      <go:sheetsCustomData xmlns:go="http://customooxmlschemas.google.com/" r:id="rId10" roundtripDataChecksum="gWQHEthUvDaBpmo84llgp2jHB2b2nCQUC6LR3f7bpWM="/>
    </ext>
  </extLst>
</workbook>
</file>

<file path=xl/sharedStrings.xml><?xml version="1.0" encoding="utf-8"?>
<sst xmlns="http://schemas.openxmlformats.org/spreadsheetml/2006/main" count="4192" uniqueCount="1813">
  <si>
    <t>MA TRẬN PHÂN QUYỀN NGHIỆP VỤ DỰ KIẾN</t>
  </si>
  <si>
    <t>Vai trò</t>
  </si>
  <si>
    <t>Hồ sơ nhân sự</t>
  </si>
  <si>
    <t>Lịch công tác</t>
  </si>
  <si>
    <t>Văn bản</t>
  </si>
  <si>
    <t>Công việc</t>
  </si>
  <si>
    <t>Điểm danh</t>
  </si>
  <si>
    <t>DANH SÁCH ĐẦU VÀO VÀ QUYẾT ĐỊNH CẦN CHỐT TRƯỚC KHI PHÁT TRIỂN</t>
  </si>
  <si>
    <t>Sổ chủ nhiệm</t>
  </si>
  <si>
    <t>Đánh giá nhân sự</t>
  </si>
  <si>
    <t>Báo cáo</t>
  </si>
  <si>
    <t>ID</t>
  </si>
  <si>
    <t>Cấu hình</t>
  </si>
  <si>
    <t>STT</t>
  </si>
  <si>
    <t>Ghi chú</t>
  </si>
  <si>
    <t>Quản trị hệ thống VSC</t>
  </si>
  <si>
    <t>Hỗ trợ kỹ thuật</t>
  </si>
  <si>
    <t>Hạ tầng hệ thống</t>
  </si>
  <si>
    <t>Không tự ý xem dữ liệu nếu không có yêu cầu hỗ trợ</t>
  </si>
  <si>
    <t>Quản trị trường</t>
  </si>
  <si>
    <t>Toàn quyền</t>
  </si>
  <si>
    <t>Toàn quyền theo cấu hình</t>
  </si>
  <si>
    <t>Toàn trường</t>
  </si>
  <si>
    <t>Nhóm</t>
  </si>
  <si>
    <t>Quyền cao nhất phía nhà trường</t>
  </si>
  <si>
    <t>Issue ID</t>
  </si>
  <si>
    <t>BGH</t>
  </si>
  <si>
    <t>Xem toàn trường</t>
  </si>
  <si>
    <t>Xem toàn trường, quyền đặc biệt</t>
  </si>
  <si>
    <t>Chỉ đạo và theo dõi</t>
  </si>
  <si>
    <t>Đầu vào hoặc quyết định cần chốt</t>
  </si>
  <si>
    <t>Giao, kiểm tra, đóng</t>
  </si>
  <si>
    <t>Loại Issue</t>
  </si>
  <si>
    <t>Xem và khóa theo quyền</t>
  </si>
  <si>
    <t>Bên cung cấp hoặc xác nhận</t>
  </si>
  <si>
    <t>Xem</t>
  </si>
  <si>
    <t>Không mặc định quản trị tài khoản</t>
  </si>
  <si>
    <t>Epic</t>
  </si>
  <si>
    <t>Cần trước mốc</t>
  </si>
  <si>
    <t>Văn phòng</t>
  </si>
  <si>
    <t>Tạo, sửa theo quyền</t>
  </si>
  <si>
    <t>Trạng thái</t>
  </si>
  <si>
    <t>Module</t>
  </si>
  <si>
    <t>Quản lý hồ sơ</t>
  </si>
  <si>
    <t>Giao và theo dõi</t>
  </si>
  <si>
    <t>Ảnh hưởng nếu thiếu</t>
  </si>
  <si>
    <t>Tên tính năng</t>
  </si>
  <si>
    <t>Xem theo quyền</t>
  </si>
  <si>
    <t>Xem, lưu trữ</t>
  </si>
  <si>
    <t>Mô tả ngắn</t>
  </si>
  <si>
    <t>Quản lý file đánh giá</t>
  </si>
  <si>
    <t>Toàn trường theo quyền</t>
  </si>
  <si>
    <t>Một phần</t>
  </si>
  <si>
    <t>Vai trò sử dụng</t>
  </si>
  <si>
    <t>Cần chốt quyền sửa lịch</t>
  </si>
  <si>
    <t>IN-001</t>
  </si>
  <si>
    <t>Văn thư</t>
  </si>
  <si>
    <t>Xem cơ bản</t>
  </si>
  <si>
    <t>Nền tảng</t>
  </si>
  <si>
    <t>Tạo, sửa của mình</t>
  </si>
  <si>
    <t>Tạo và tiếp nhận</t>
  </si>
  <si>
    <t>Tạo theo quyền</t>
  </si>
  <si>
    <t>Không</t>
  </si>
  <si>
    <t>Ưu tiên</t>
  </si>
  <si>
    <t>Theo nghiệp vụ</t>
  </si>
  <si>
    <t>File lịch công tác mẫu chính thức</t>
  </si>
  <si>
    <t>Không có quyền xem đánh giá</t>
  </si>
  <si>
    <t>Mốc triển khai</t>
  </si>
  <si>
    <t>Tổ trưởng</t>
  </si>
  <si>
    <t>Văn thư, Thầy Vương</t>
  </si>
  <si>
    <t>Xem thành viên tổ</t>
  </si>
  <si>
    <t>Phụ thuộc</t>
  </si>
  <si>
    <t>Tạo của mình, xem tổ</t>
  </si>
  <si>
    <t>Xem văn bản liên quan</t>
  </si>
  <si>
    <t>M2</t>
  </si>
  <si>
    <t>Xem, phân công, kiểm tra trong tổ</t>
  </si>
  <si>
    <t>Lưu ý PO và Technical</t>
  </si>
  <si>
    <t>Không mặc định</t>
  </si>
  <si>
    <t>Xem tổ, upload file</t>
  </si>
  <si>
    <t>Báo cáo tổ</t>
  </si>
  <si>
    <t>Tiêu chí hoàn thành</t>
  </si>
  <si>
    <t>Chưa nhận</t>
  </si>
  <si>
    <t>Phạm vi theo thời gian giữ vai trò</t>
  </si>
  <si>
    <t>Tổ phó</t>
  </si>
  <si>
    <t>Theo cấu hình</t>
  </si>
  <si>
    <t>Không chốt được form và file xuất</t>
  </si>
  <si>
    <t>Xem liên quan</t>
  </si>
  <si>
    <t>Theo cấu hình trong tổ</t>
  </si>
  <si>
    <t>Người phụ trách</t>
  </si>
  <si>
    <t>Nhà trường cần chốt mức quyền</t>
  </si>
  <si>
    <t>Sprint</t>
  </si>
  <si>
    <t>Giáo viên</t>
  </si>
  <si>
    <t>IN-002</t>
  </si>
  <si>
    <t>Story Point</t>
  </si>
  <si>
    <t>Xem cá nhân nếu cho phép</t>
  </si>
  <si>
    <t>Xem lịch liên quan</t>
  </si>
  <si>
    <t>Xem văn bản của task</t>
  </si>
  <si>
    <t>Ngày bắt đầu</t>
  </si>
  <si>
    <t>Thực hiện và nộp task</t>
  </si>
  <si>
    <t>Hạn hoàn thành</t>
  </si>
  <si>
    <t>Danh sách trường bắt buộc và trường tùy chọn</t>
  </si>
  <si>
    <t>Tiến độ %</t>
  </si>
  <si>
    <t>Cá nhân</t>
  </si>
  <si>
    <t>Không xem task riêng của đồng nghiệp</t>
  </si>
  <si>
    <t>QA</t>
  </si>
  <si>
    <t>Giáo viên chủ nhiệm</t>
  </si>
  <si>
    <t>Xem cá nhân</t>
  </si>
  <si>
    <t>UAT</t>
  </si>
  <si>
    <t>Chưa chốt</t>
  </si>
  <si>
    <t>DASHBOARD QUẢN LÝ BACKLOG HỆ THỐNG TRƯỜNG HỌC</t>
  </si>
  <si>
    <t>Xem lớp mình</t>
  </si>
  <si>
    <t>Nhập, hoàn tất, xuất lớp mình</t>
  </si>
  <si>
    <t>Blocker hoặc ghi chú</t>
  </si>
  <si>
    <t>Validation và database có thể sai</t>
  </si>
  <si>
    <t>Lớp mình</t>
  </si>
  <si>
    <t>Chỉ số</t>
  </si>
  <si>
    <t>Có toàn bộ quyền Giáo viên</t>
  </si>
  <si>
    <t>Giám thị</t>
  </si>
  <si>
    <t>Giá trị</t>
  </si>
  <si>
    <t>Mốc dự kiến theo biên bản cuộc họp</t>
  </si>
  <si>
    <t>IN-003</t>
  </si>
  <si>
    <t>Task cá nhân nếu có</t>
  </si>
  <si>
    <t>Upload, sửa theo quyền</t>
  </si>
  <si>
    <t>Tổng số Issue</t>
  </si>
  <si>
    <t>SYS-001</t>
  </si>
  <si>
    <t>Quyền sửa lịch của BGH và Văn phòng</t>
  </si>
  <si>
    <t>Không tự sửa dữ liệu sổ tổng hợp</t>
  </si>
  <si>
    <t>Kế toán</t>
  </si>
  <si>
    <t>BGH, Thầy Vương</t>
  </si>
  <si>
    <t>Story</t>
  </si>
  <si>
    <t>Hệ thống nền</t>
  </si>
  <si>
    <t>Tài khoản</t>
  </si>
  <si>
    <t>Task cá nhân</t>
  </si>
  <si>
    <t>Sai phân quyền và trách nhiệm</t>
  </si>
  <si>
    <t>Đăng nhập hệ thống</t>
  </si>
  <si>
    <t>Theo quyền đặc biệt</t>
  </si>
  <si>
    <t>Mã</t>
  </si>
  <si>
    <t>Mốc</t>
  </si>
  <si>
    <t>Đăng nhập bằng tài khoản được cấp và truy cập đúng quyền.</t>
  </si>
  <si>
    <t>Phạm vi theo nhiệm vụ</t>
  </si>
  <si>
    <t>Thời gian</t>
  </si>
  <si>
    <t>IN-004</t>
  </si>
  <si>
    <t>Phạm vi</t>
  </si>
  <si>
    <t>Tất cả người dùng</t>
  </si>
  <si>
    <t>Đã hoàn thành</t>
  </si>
  <si>
    <t>Web, Android, iOS</t>
  </si>
  <si>
    <t>Định nghĩa lịch liên quan đến giáo viên</t>
  </si>
  <si>
    <t>Cao nhất</t>
  </si>
  <si>
    <t>BGH, Văn thư</t>
  </si>
  <si>
    <t>M1</t>
  </si>
  <si>
    <t>M1 Nền tảng</t>
  </si>
  <si>
    <t>Nền tảng dùng chung</t>
  </si>
  <si>
    <t>Tháng 8 năm 2026</t>
  </si>
  <si>
    <t>Tài khoản, hồ sơ, tổ chức, quyền, file, thông báo, audit</t>
  </si>
  <si>
    <t>Đang thực hiện</t>
  </si>
  <si>
    <t>Giáo viên có thể thiếu hoặc thừa lịch</t>
  </si>
  <si>
    <t>Kiểm tra quyền tại API; khóa tài khoản phải thu hồi phiên cũ.</t>
  </si>
  <si>
    <t>Đăng nhập đúng thành công; sai thông tin có cảnh báo; tài khoản khóa bị từ chối.</t>
  </si>
  <si>
    <t>IN-005</t>
  </si>
  <si>
    <t>Backlog</t>
  </si>
  <si>
    <t>File công văn mẫu và trường dữ liệu</t>
  </si>
  <si>
    <t>Tháng 9 năm 2026</t>
  </si>
  <si>
    <t>Web hoàn chỉnh, chuẩn bị thông báo app</t>
  </si>
  <si>
    <t>Đang bị chặn</t>
  </si>
  <si>
    <t>M3</t>
  </si>
  <si>
    <t>Văn bản và công việc</t>
  </si>
  <si>
    <t>Luồng giao việc, deadline, nộp, sửa, đánh giá</t>
  </si>
  <si>
    <t>Không chốt được hồ sơ văn bản</t>
  </si>
  <si>
    <t>Tiến độ trung bình</t>
  </si>
  <si>
    <t>IN-006</t>
  </si>
  <si>
    <t>M4</t>
  </si>
  <si>
    <t>Điểm danh và sổ chủ nhiệm</t>
  </si>
  <si>
    <t>BGH chỉ ghi chỉ đạo hay có phê duyệt chính thức</t>
  </si>
  <si>
    <t>Tháng 10 đến 11 năm 2026</t>
  </si>
  <si>
    <t>Import camera, chuyên cần, báo cáo, xuất sổ</t>
  </si>
  <si>
    <t>Chưa kiểm thử</t>
  </si>
  <si>
    <t>Issue ưu tiên cao nhất chưa xong</t>
  </si>
  <si>
    <t>Chưa UAT</t>
  </si>
  <si>
    <t>Workflow và trạng thái có thể làm sai</t>
  </si>
  <si>
    <t>IN-007</t>
  </si>
  <si>
    <t>SYS-002</t>
  </si>
  <si>
    <t>M5</t>
  </si>
  <si>
    <t>Danh sách vai trò có quyền tạo và đóng task</t>
  </si>
  <si>
    <t>Dữ liệu hỗ trợ, file offline, không tự chấm</t>
  </si>
  <si>
    <t>M6</t>
  </si>
  <si>
    <t>Ứng dụng và ổn định</t>
  </si>
  <si>
    <t>Android, iOS, push, UAT, phát hành</t>
  </si>
  <si>
    <t>Sai quyền giao và nghiệm thu</t>
  </si>
  <si>
    <t>Số Issue</t>
  </si>
  <si>
    <t>Đăng xuất và thu hồi phiên</t>
  </si>
  <si>
    <t>Đăng xuất thiết bị hiện tại và hủy phiên truy cập.</t>
  </si>
  <si>
    <t>IN-008</t>
  </si>
  <si>
    <t>Chờ phân tích</t>
  </si>
  <si>
    <t>Cao</t>
  </si>
  <si>
    <t>Quy tắc giao task cho tổ khi chưa có người chính</t>
  </si>
  <si>
    <t>BGH, Tổ trưởng</t>
  </si>
  <si>
    <t>Đang phân tích</t>
  </si>
  <si>
    <t>Thiết bị đăng xuất phải ngừng nhận dữ liệu và thông báo cá nhân.</t>
  </si>
  <si>
    <t>Task có thể không có người chịu trách nhiệm</t>
  </si>
  <si>
    <t>Token cũ không còn truy cập được.</t>
  </si>
  <si>
    <t>Sẵn sàng phát triển</t>
  </si>
  <si>
    <t>IN-009</t>
  </si>
  <si>
    <t>Đang phát triển</t>
  </si>
  <si>
    <t>Cách xử lý sau hai lần chỉnh sửa</t>
  </si>
  <si>
    <t>Review code</t>
  </si>
  <si>
    <t>Không xác định trạng thái cuối</t>
  </si>
  <si>
    <t>Chờ QA</t>
  </si>
  <si>
    <t>IN-010</t>
  </si>
  <si>
    <t>Đang kiểm thử</t>
  </si>
  <si>
    <t>Có bắt buộc nhận xét khi đánh giá dưới 100 phần trăm</t>
  </si>
  <si>
    <t>SYS-003</t>
  </si>
  <si>
    <t>Dữ liệu đánh giá thiếu ngữ cảnh</t>
  </si>
  <si>
    <t>IN-011</t>
  </si>
  <si>
    <t>Chờ UAT</t>
  </si>
  <si>
    <t>Đổi mật khẩu</t>
  </si>
  <si>
    <t>Đổi mật khẩu sau khi xác thực mật khẩu hiện tại.</t>
  </si>
  <si>
    <t>Giờ mặc định khi deadline chỉ có ngày</t>
  </si>
  <si>
    <t>BGH, Văn phòng</t>
  </si>
  <si>
    <t>Đề xuất</t>
  </si>
  <si>
    <t>Có thể tranh chấp nộp trễ</t>
  </si>
  <si>
    <t>Đề xuất 23 giờ 59 phút</t>
  </si>
  <si>
    <t>IN-012</t>
  </si>
  <si>
    <t>Nhân sự</t>
  </si>
  <si>
    <t>Đang UAT</t>
  </si>
  <si>
    <t>Áp dụng quy tắc mật khẩu thống nhất; không lưu mật khẩu dạng rõ.</t>
  </si>
  <si>
    <t>File xuất cơ sở dữ liệu ngành giáo dục</t>
  </si>
  <si>
    <t>Mật khẩu mới dùng được; mật khẩu cũ bị từ chối.</t>
  </si>
  <si>
    <t>Không xây được import profile</t>
  </si>
  <si>
    <t>Lịch công tác và thông báo</t>
  </si>
  <si>
    <t>IN-013</t>
  </si>
  <si>
    <t>Bị chặn</t>
  </si>
  <si>
    <t>Mã nhân sự duy nhất dùng trong trường</t>
  </si>
  <si>
    <t>Trung bình</t>
  </si>
  <si>
    <t>Công việc và quy trình văn bản</t>
  </si>
  <si>
    <t>Nguy cơ hồ sơ trùng</t>
  </si>
  <si>
    <t>Hoàn thành</t>
  </si>
  <si>
    <t>IN-014</t>
  </si>
  <si>
    <t>SYS-004</t>
  </si>
  <si>
    <t>Thấp</t>
  </si>
  <si>
    <t>Tổ chức</t>
  </si>
  <si>
    <t>Danh sách tổ, Tổ trưởng, Tổ phó và thời gian hiệu lực</t>
  </si>
  <si>
    <t>Lớp chủ nhiệm và điểm danh</t>
  </si>
  <si>
    <t>Quên mật khẩu</t>
  </si>
  <si>
    <t>Sai phạm vi quyền</t>
  </si>
  <si>
    <t>Hỗ trợ quản trị đặt lại mật khẩu hoặc cơ chế khôi phục phù hợp.</t>
  </si>
  <si>
    <t>Hủy</t>
  </si>
  <si>
    <t>Tất cả người dùng, Quản trị trường</t>
  </si>
  <si>
    <t>IN-015</t>
  </si>
  <si>
    <t>Web</t>
  </si>
  <si>
    <t>Đánh giá nhân sự nội bộ</t>
  </si>
  <si>
    <t>Lớp học</t>
  </si>
  <si>
    <t>Danh sách lớp, GVCN và năm học</t>
  </si>
  <si>
    <t>Ứng dụng di động</t>
  </si>
  <si>
    <t>SYS-001, SYS-009</t>
  </si>
  <si>
    <t>Cần chốt kênh khôi phục vì không dùng email nghiệp vụ.</t>
  </si>
  <si>
    <t>Phi chức năng</t>
  </si>
  <si>
    <t>Có mật khẩu tạm; bắt buộc đổi ở lần đăng nhập tiếp theo.</t>
  </si>
  <si>
    <t>Không tạo được sổ và quyền lớp</t>
  </si>
  <si>
    <t>Quản trị dự án</t>
  </si>
  <si>
    <t>IN-016</t>
  </si>
  <si>
    <t>Học sinh</t>
  </si>
  <si>
    <t>File danh sách học sinh và mã định danh</t>
  </si>
  <si>
    <t>Không mapping được điểm danh</t>
  </si>
  <si>
    <t>IN-017</t>
  </si>
  <si>
    <t>File Excel thật từ camera</t>
  </si>
  <si>
    <t>Không thể estimate và xây parser chính xác</t>
  </si>
  <si>
    <t>SYS-005</t>
  </si>
  <si>
    <t>IN-018</t>
  </si>
  <si>
    <t>Ý nghĩa từng cột và trạng thái camera</t>
  </si>
  <si>
    <t>Buộc đổi mật khẩu lần đầu</t>
  </si>
  <si>
    <t>Giám thị, Nhà cung cấp camera</t>
  </si>
  <si>
    <t>Tài khoản mới phải đổi mật khẩu trước khi dùng nghiệp vụ.</t>
  </si>
  <si>
    <t>Có thể hiểu sai có mặt, vắng, trễ</t>
  </si>
  <si>
    <t>IN-019</t>
  </si>
  <si>
    <t>Quy tắc upload lại file và cập nhật dữ liệu</t>
  </si>
  <si>
    <t>Không cho bỏ qua bước đổi mật khẩu.</t>
  </si>
  <si>
    <t>Giám thị, BGH</t>
  </si>
  <si>
    <t>Hoàn tất đổi mật khẩu mới vào được hệ thống.</t>
  </si>
  <si>
    <t>Nguy cơ trùng hoặc ghi đè sai</t>
  </si>
  <si>
    <t>IN-020</t>
  </si>
  <si>
    <t>Có cảnh báo sau 8 giờ 30 và người nhận</t>
  </si>
  <si>
    <t>BGH, Giám thị</t>
  </si>
  <si>
    <t>Không rõ phạm vi notification</t>
  </si>
  <si>
    <t>IN-021</t>
  </si>
  <si>
    <t>SYS-006</t>
  </si>
  <si>
    <t>Bản scan đầy đủ của sổ hiện tại</t>
  </si>
  <si>
    <t>GVCN, Thầy Vương</t>
  </si>
  <si>
    <t>Khóa và mở khóa tài khoản</t>
  </si>
  <si>
    <t>Không thể mapping form và PDF</t>
  </si>
  <si>
    <t>Quản trị khóa, mở khóa hoặc vô hiệu hóa tài khoản.</t>
  </si>
  <si>
    <t>IN-022</t>
  </si>
  <si>
    <t>Các phần được phép thay đổi format</t>
  </si>
  <si>
    <t>BGH, GVCN</t>
  </si>
  <si>
    <t>Lưu lý do, người thao tác, thời điểm; thu hồi phiên đang hoạt động.</t>
  </si>
  <si>
    <t>Thiết kế có thể không đạt kiểm định</t>
  </si>
  <si>
    <t>Tài khoản khóa không đăng nhập; có audit log.</t>
  </si>
  <si>
    <t>IN-023</t>
  </si>
  <si>
    <t>Thời hạn báo cáo tuần, tháng và quyền mở khóa</t>
  </si>
  <si>
    <t>Không xây được khóa sổ</t>
  </si>
  <si>
    <t>IN-024</t>
  </si>
  <si>
    <t>Mẫu PDF cần dùng khi in và kiểm định</t>
  </si>
  <si>
    <t>SYS-007</t>
  </si>
  <si>
    <t>Không có tiêu chí nghiệm thu file xuất</t>
  </si>
  <si>
    <t>Quản lý phiên nhiều thiết bị</t>
  </si>
  <si>
    <t>IN-025</t>
  </si>
  <si>
    <t>Xem và đăng xuất các thiết bị đang sử dụng tài khoản.</t>
  </si>
  <si>
    <t>Ký số</t>
  </si>
  <si>
    <t>Tên dịch vụ và hình thức chữ ký số Viettel</t>
  </si>
  <si>
    <t>Nhà trường, Viettel</t>
  </si>
  <si>
    <t>Khảo sát</t>
  </si>
  <si>
    <t>Không kết luận được khả năng tích hợp</t>
  </si>
  <si>
    <t>Token push phải được hủy khi thiết bị đăng xuất.</t>
  </si>
  <si>
    <t>Danh sách phiên đúng; phiên bị thu hồi không còn hiệu lực.</t>
  </si>
  <si>
    <t>IN-026</t>
  </si>
  <si>
    <t>Danh mục nhóm lỗi và loại lỗi chính thức</t>
  </si>
  <si>
    <t>Không thể xây danh mục và báo cáo</t>
  </si>
  <si>
    <t>IN-027</t>
  </si>
  <si>
    <t>Người có quyền ghi nhận và người bị ghi nhận có được xem</t>
  </si>
  <si>
    <t>Rủi ro quyền riêng tư và tranh chấp</t>
  </si>
  <si>
    <t>SYS-008</t>
  </si>
  <si>
    <t>IN-028</t>
  </si>
  <si>
    <t>Task</t>
  </si>
  <si>
    <t>Ngày bắt đầu áp dụng chính thức sau thử nghiệm</t>
  </si>
  <si>
    <t>Giới hạn đăng nhập thất bại</t>
  </si>
  <si>
    <t>Ghi số lần sai và giới hạn thử mật khẩu tạm thời.</t>
  </si>
  <si>
    <t>Hệ thống</t>
  </si>
  <si>
    <t>Dữ liệu thử nghiệm có thể bị tính sai</t>
  </si>
  <si>
    <t>Backend</t>
  </si>
  <si>
    <t>IN-029</t>
  </si>
  <si>
    <t>Mẫu file kết quả cho ba loại kỳ</t>
  </si>
  <si>
    <t>Tổ trưởng, Văn phòng</t>
  </si>
  <si>
    <t>Không làm lộ tài khoản có tồn tại; có cơ chế mở khóa.</t>
  </si>
  <si>
    <t>Vượt ngưỡng bị giới hạn; log đủ để hỗ trợ.</t>
  </si>
  <si>
    <t>Không chốt được upload và phân loại file</t>
  </si>
  <si>
    <t>DANH MỤC VÀ WORKFLOW</t>
  </si>
  <si>
    <t>IN-030</t>
  </si>
  <si>
    <t>Ứng dụng</t>
  </si>
  <si>
    <t>Chủ sở hữu tài khoản Apple Developer và Google Play</t>
  </si>
  <si>
    <t>Ý nghĩa</t>
  </si>
  <si>
    <t>Nhà trường, VSC</t>
  </si>
  <si>
    <t>HƯỚNG DẪN SỬ DỤNG WORKBOOK</t>
  </si>
  <si>
    <t>Nội dung</t>
  </si>
  <si>
    <t>Thời điểm xử lý</t>
  </si>
  <si>
    <t>Hướng dẫn</t>
  </si>
  <si>
    <t>Người cập nhật</t>
  </si>
  <si>
    <t>Nguyên tắc</t>
  </si>
  <si>
    <t>Không thể phát hành app</t>
  </si>
  <si>
    <t>Tần suất</t>
  </si>
  <si>
    <t>Quy tắc bắt buộc</t>
  </si>
  <si>
    <t>Đã ghi nhận nhưng chưa đưa vào phân tích</t>
  </si>
  <si>
    <t>Kết quả mong đợi</t>
  </si>
  <si>
    <t>Xử lý trước</t>
  </si>
  <si>
    <t>IN-031</t>
  </si>
  <si>
    <t>Mỗi dòng là một Issue có thể đưa vào Jira hoặc sprint. Không gộp nhiều chức năng không liên quan vào cùng một dòng.</t>
  </si>
  <si>
    <t>Thiếu sẽ chặn vận hành, bảo mật hoặc mốc nghiệm thu</t>
  </si>
  <si>
    <t>PO, BA</t>
  </si>
  <si>
    <t>SYS-009</t>
  </si>
  <si>
    <t>Khi có thay đổi phạm vi</t>
  </si>
  <si>
    <t>Issue phải có mô tả, phụ thuộc, lưu ý và tiêu chí hoàn thành.</t>
  </si>
  <si>
    <t>Dev, QA và UAT hiểu cùng một phạm vi.</t>
  </si>
  <si>
    <t>Xác nhận chi phí duyệt app 15 triệu và thời điểm thanh toán</t>
  </si>
  <si>
    <t>Đang chờ PO hoặc BA làm rõ</t>
  </si>
  <si>
    <t>Chỉ chuyển trạng thái khi đáp ứng điều kiện trong sheet Danh mục.</t>
  </si>
  <si>
    <t>Người phụ trách Issue</t>
  </si>
  <si>
    <t>Hằng ngày hoặc khi bàn giao</t>
  </si>
  <si>
    <t>Không đánh dấu Hoàn thành nếu QA hoặc UAT chưa đạt khi có yêu cầu.</t>
  </si>
  <si>
    <t>Trong mốc hiện tại</t>
  </si>
  <si>
    <t>Dashboard phản ánh đúng tiến độ.</t>
  </si>
  <si>
    <t>Cần cho luồng chính hoặc giảm rủi ro lớn</t>
  </si>
  <si>
    <t>Điền một owner chính. Người phối hợp ghi trong Blocker hoặc ghi chú nếu cần.</t>
  </si>
  <si>
    <t>PM, Team Lead</t>
  </si>
  <si>
    <t>Tạo hồ sơ nhân sự</t>
  </si>
  <si>
    <t>Khi lập sprint</t>
  </si>
  <si>
    <t>Một Issue phải có một owner chịu trách nhiệm.</t>
  </si>
  <si>
    <t>Đang làm rõ nghiệp vụ, dữ liệu và acceptance criteria</t>
  </si>
  <si>
    <t>Không có công việc vô chủ.</t>
  </si>
  <si>
    <t>Tạo hồ sơ bằng mã nhân sự duy nhất.</t>
  </si>
  <si>
    <t>Chậm quy trình phát hành</t>
  </si>
  <si>
    <t>Dev team estimate sau khi Issue ở trạng thái Sẵn sàng phát triển.</t>
  </si>
  <si>
    <t>Sau luồng chính</t>
  </si>
  <si>
    <t>Quản trị trường, Văn phòng</t>
  </si>
  <si>
    <t>Technical Lead, Dev</t>
  </si>
  <si>
    <t>Sprint planning</t>
  </si>
  <si>
    <t>Có giá trị nhưng có thể vận hành tạm bằng cách khác</t>
  </si>
  <si>
    <t>Không estimate khi đầu vào hoặc acceptance criteria còn thiếu.</t>
  </si>
  <si>
    <t>IN-032</t>
  </si>
  <si>
    <t>Estimate có cơ sở.</t>
  </si>
  <si>
    <t>Đã đủ điều kiện đưa vào sprint</t>
  </si>
  <si>
    <t>Ngày và deadline</t>
  </si>
  <si>
    <t>Hạ tầng</t>
  </si>
  <si>
    <t>Điền ngày bắt đầu và hạn hoàn thành sau khi xếp sprint.</t>
  </si>
  <si>
    <t>PM, Owner</t>
  </si>
  <si>
    <t>Giai đoạn sau</t>
  </si>
  <si>
    <t>Ngày phải là ngày thực tế, không chỉ ghi tháng bằng text.</t>
  </si>
  <si>
    <t>Nhà cung cấp server, ngày thanh toán và hóa đơn</t>
  </si>
  <si>
    <t>Theo dõi trễ hạn rõ.</t>
  </si>
  <si>
    <t>Tối ưu hoặc tiện ích không ảnh hưởng MVP</t>
  </si>
  <si>
    <t>Tiến độ</t>
  </si>
  <si>
    <t>VSC, Nhà trường</t>
  </si>
  <si>
    <t>Cập nhật từ 0 đến 100. Không dùng tiến độ để thay thế trạng thái.</t>
  </si>
  <si>
    <t>Owner</t>
  </si>
  <si>
    <t>Dev đang thực hiện</t>
  </si>
  <si>
    <t>Tối thiểu hai lần mỗi tuần</t>
  </si>
  <si>
    <t>Hoàn thành phải là 100; Bị chặn phải có mô tả blocker.</t>
  </si>
  <si>
    <t>Không dùng họ tên làm khóa dữ liệu.</t>
  </si>
  <si>
    <t>Có tín hiệu sớm khi chậm.</t>
  </si>
  <si>
    <t>QA chọn trạng thái và ghi lỗi chi tiết bằng Issue ID riêng hoặc cột Blocker.</t>
  </si>
  <si>
    <t>Không tạo trùng mã; trường bắt buộc được kiểm tra.</t>
  </si>
  <si>
    <t>Sau mỗi build</t>
  </si>
  <si>
    <t>Đang kiểm tra code hoặc pull request</t>
  </si>
  <si>
    <t>Nguy cơ gián đoạn hệ thống</t>
  </si>
  <si>
    <t>Không chuyển Chờ UAT khi QA chưa Đạt.</t>
  </si>
  <si>
    <t>Bàn giao kiểm thử có bằng chứng.</t>
  </si>
  <si>
    <t>Đầu mối trường kiểm thử theo kịch bản và dữ liệu thật.</t>
  </si>
  <si>
    <t>Thầy Vương, Thầy Tuấn, PO</t>
  </si>
  <si>
    <t>Theo từng mốc</t>
  </si>
  <si>
    <t>Phản hồi phải gắn Issue ID và mức độ.</t>
  </si>
  <si>
    <t>IN-033</t>
  </si>
  <si>
    <t>Nghiệm thu minh bạch.</t>
  </si>
  <si>
    <t>Đầu vào cần chốt</t>
  </si>
  <si>
    <t>Dev hoàn tất và bàn giao kiểm thử</t>
  </si>
  <si>
    <t>Theo dõi file, quyết định và xác nhận từ nhà trường.</t>
  </si>
  <si>
    <t>Hằng tuần</t>
  </si>
  <si>
    <t>Issue phụ thuộc đầu vào chưa có phải chuyển Bị chặn hoặc không đưa sprint.</t>
  </si>
  <si>
    <t>Tránh Dev tự suy đoán nghiệp vụ.</t>
  </si>
  <si>
    <t>Danh sách tài khoản và dữ liệu test cho Thầy Vương, Thầy Tuấn</t>
  </si>
  <si>
    <t>Phân quyền</t>
  </si>
  <si>
    <t>Dùng như baseline thảo luận, không coi là quyết định cuối khi ô ghi Theo cấu hình.</t>
  </si>
  <si>
    <t>PO, BGH, Technical Lead</t>
  </si>
  <si>
    <t>Nhà trường, PO</t>
  </si>
  <si>
    <t>Trước khi code từng module</t>
  </si>
  <si>
    <t>QA đang chạy test case</t>
  </si>
  <si>
    <t>Quyền phải được kiểm thử cả UI và API.</t>
  </si>
  <si>
    <t>Không lộ dữ liệu chéo.</t>
  </si>
  <si>
    <t>Từng mốc</t>
  </si>
  <si>
    <t>Change request</t>
  </si>
  <si>
    <t>Yêu cầu mới phải tạo Issue riêng và phân tích ảnh hưởng.</t>
  </si>
  <si>
    <t>PO, PM</t>
  </si>
  <si>
    <t>Khi phát sinh</t>
  </si>
  <si>
    <t>Không chỉnh âm thầm mô tả Issue đang làm mà làm thay đổi phạm vi lớn.</t>
  </si>
  <si>
    <t>QA đạt và chờ đại diện trường kiểm thử</t>
  </si>
  <si>
    <t>UAT không phản ánh vận hành thật</t>
  </si>
  <si>
    <t>Kiểm soát tiến độ và chi phí.</t>
  </si>
  <si>
    <t>IN-034</t>
  </si>
  <si>
    <t>Thầy Vương, Thầy Tuấn hoặc người dùng đầu mối đang kiểm thử</t>
  </si>
  <si>
    <t>SYS-010</t>
  </si>
  <si>
    <t>Vận hành</t>
  </si>
  <si>
    <t>Không thể tiếp tục do thiếu dữ liệu, quyết định hoặc phụ thuộc</t>
  </si>
  <si>
    <t>Kênh tiếp nhận bug và thời gian phản hồi</t>
  </si>
  <si>
    <t>Cập nhật hồ sơ</t>
  </si>
  <si>
    <t>QA và UAT đạt, tài liệu đã cập nhật</t>
  </si>
  <si>
    <t>Sửa thông tin, chức vụ, tổ và trạng thái công tác.</t>
  </si>
  <si>
    <t>Trước vận hành</t>
  </si>
  <si>
    <t>Phản hồi sau triển khai bị thất lạc</t>
  </si>
  <si>
    <t>Không còn thực hiện hoặc ngoài phạm vi</t>
  </si>
  <si>
    <t>Thay đổi tổ và chức vụ phải giữ lịch sử.</t>
  </si>
  <si>
    <t>Dữ liệu hiện tại đúng; báo cáo cũ không bị thay đổi.</t>
  </si>
  <si>
    <t>Từ trạng thái</t>
  </si>
  <si>
    <t>Đến trạng thái</t>
  </si>
  <si>
    <t>Điều kiện</t>
  </si>
  <si>
    <t>Người thực hiện</t>
  </si>
  <si>
    <t>Bằng chứng cần có</t>
  </si>
  <si>
    <t>Được PO ưu tiên</t>
  </si>
  <si>
    <t>PO</t>
  </si>
  <si>
    <t>SYS-011</t>
  </si>
  <si>
    <t>Mục tiêu và phạm vi ban đầu</t>
  </si>
  <si>
    <t>BA hoặc PO bắt đầu làm rõ</t>
  </si>
  <si>
    <t>Danh sách câu hỏi và nguồn dữ liệu</t>
  </si>
  <si>
    <t>Nhập dữ liệu ngành giáo dục</t>
  </si>
  <si>
    <t>Nhập hàng loạt hồ sơ từ file xuất hiện có.</t>
  </si>
  <si>
    <t>Đủ mô tả, phụ thuộc và tiêu chí hoàn thành</t>
  </si>
  <si>
    <t>PO, BA, Technical Lead</t>
  </si>
  <si>
    <t>Quản trị trường, VSC</t>
  </si>
  <si>
    <t>Acceptance criteria được duyệt</t>
  </si>
  <si>
    <t>Được đưa vào sprint và có người phụ trách</t>
  </si>
  <si>
    <t>PM, Dev Lead</t>
  </si>
  <si>
    <t>Sprint và assignee</t>
  </si>
  <si>
    <t>File mẫu chính thức</t>
  </si>
  <si>
    <t>Có xem trước, kiểm tra trùng, thống kê dòng lỗi.</t>
  </si>
  <si>
    <t>Dev hoàn tất code và tự kiểm tra</t>
  </si>
  <si>
    <t>Dev</t>
  </si>
  <si>
    <t>File đúng nhập được; dòng lỗi có nguyên nhân; không tạo trùng.</t>
  </si>
  <si>
    <t>Pull request và bằng chứng</t>
  </si>
  <si>
    <t>Code được duyệt và deploy môi trường test</t>
  </si>
  <si>
    <t>Reviewer, Dev</t>
  </si>
  <si>
    <t>Build hoặc deployment</t>
  </si>
  <si>
    <t>QA nhận bản build</t>
  </si>
  <si>
    <t>Test case</t>
  </si>
  <si>
    <t>QA đạt, không còn lỗi chặn</t>
  </si>
  <si>
    <t>QA, PO</t>
  </si>
  <si>
    <t>Test report</t>
  </si>
  <si>
    <t>Đầu mối trường bắt đầu kiểm thử</t>
  </si>
  <si>
    <t>PO, UAT</t>
  </si>
  <si>
    <t>Kịch bản và tài khoản test</t>
  </si>
  <si>
    <t>SYS-012</t>
  </si>
  <si>
    <t>UAT đạt và tài liệu cập nhật</t>
  </si>
  <si>
    <t>PO, UAT, PM</t>
  </si>
  <si>
    <t>Biên bản hoặc xác nhận</t>
  </si>
  <si>
    <t>Bất kỳ</t>
  </si>
  <si>
    <t>Thiếu dữ liệu, quyết định, quyền truy cập hoặc phụ thuộc</t>
  </si>
  <si>
    <t>Bất kỳ thành viên</t>
  </si>
  <si>
    <t>Xuất danh sách nhân sự</t>
  </si>
  <si>
    <t>Mô tả blocker và owner xử lý</t>
  </si>
  <si>
    <t>Xuất Excel theo bộ lọc và phạm vi quyền.</t>
  </si>
  <si>
    <t>BGH, Văn phòng, Quản trị trường</t>
  </si>
  <si>
    <t>Trạng thái trước đó</t>
  </si>
  <si>
    <t>Blocker đã được giải quyết</t>
  </si>
  <si>
    <t>Owner blocker</t>
  </si>
  <si>
    <t>Bằng chứng giải quyết</t>
  </si>
  <si>
    <t>Không xuất trường nhạy cảm cho người không có quyền.</t>
  </si>
  <si>
    <t>File khớp bộ lọc và quyền.</t>
  </si>
  <si>
    <t>SYS-013</t>
  </si>
  <si>
    <t>Tìm kiếm và lọc</t>
  </si>
  <si>
    <t>Tìm theo tên, mã, tổ, chức vụ, trạng thái.</t>
  </si>
  <si>
    <t>BGH, Văn phòng, Tổ trưởng, Tổ phó</t>
  </si>
  <si>
    <t>Tổ trưởng chỉ tìm trong phạm vi tổ.</t>
  </si>
  <si>
    <t>Kết quả đúng khi kết hợp nhiều bộ lọc.</t>
  </si>
  <si>
    <t>SYS-014</t>
  </si>
  <si>
    <t>Quản lý trạng thái công tác</t>
  </si>
  <si>
    <t>Đánh dấu đang làm, tạm nghỉ, nghỉ việc, chuyển đơn vị.</t>
  </si>
  <si>
    <t>Không xóa hồ sơ đã phát sinh dữ liệu.</t>
  </si>
  <si>
    <t>Hồ sơ cũ còn tra cứu; người nghỉ không nhận task mới.</t>
  </si>
  <si>
    <t>SYS-015</t>
  </si>
  <si>
    <t>Gắn nhiều vai trò</t>
  </si>
  <si>
    <t>Một người có thể đồng thời giữ nhiều vai trò.</t>
  </si>
  <si>
    <t>SYS-009, SYS-021</t>
  </si>
  <si>
    <t>Hợp nhất quyền, không yêu cầu đổi tài khoản.</t>
  </si>
  <si>
    <t>Người dùng có đủ quyền đã gán và không vượt phạm vi.</t>
  </si>
  <si>
    <t>SYS-016</t>
  </si>
  <si>
    <t>Lịch sử phân công</t>
  </si>
  <si>
    <t>Xem lịch sử tổ, chức vụ, lớp chủ nhiệm theo thời gian.</t>
  </si>
  <si>
    <t>Mỗi thay đổi có ngày hiệu lực.</t>
  </si>
  <si>
    <t>Xác định được cơ cấu tại thời điểm dữ liệu cũ phát sinh.</t>
  </si>
  <si>
    <t>SYS-017</t>
  </si>
  <si>
    <t>Cơ cấu tổ chức</t>
  </si>
  <si>
    <t>Quản lý tổ chuyên môn</t>
  </si>
  <si>
    <t>Tạo, sửa, ngừng sử dụng tổ theo năm học.</t>
  </si>
  <si>
    <t>Không xóa tổ đã có dữ liệu.</t>
  </si>
  <si>
    <t>Tổ mới dùng được; tổ cũ còn trong lịch sử.</t>
  </si>
  <si>
    <t>SYS-018</t>
  </si>
  <si>
    <t>Gắn Tổ trưởng và Tổ phó</t>
  </si>
  <si>
    <t>Chỉ định người quản lý tổ và thời gian hiệu lực.</t>
  </si>
  <si>
    <t>SYS-009, SYS-017</t>
  </si>
  <si>
    <t>Quyền quản lý phụ thuộc thời gian hiệu lực.</t>
  </si>
  <si>
    <t>Quyền bắt đầu và kết thúc đúng cấu hình.</t>
  </si>
  <si>
    <t>SYS-019</t>
  </si>
  <si>
    <t>Quản lý thành viên tổ</t>
  </si>
  <si>
    <t>Gắn hoặc chuyển nhân sự giữa các tổ.</t>
  </si>
  <si>
    <t>Không cập nhật đè cơ cấu cũ.</t>
  </si>
  <si>
    <t>Danh sách hiện tại đúng; lịch sử không mất.</t>
  </si>
  <si>
    <t>SYS-020</t>
  </si>
  <si>
    <t>Quản lý lớp và GVCN</t>
  </si>
  <si>
    <t>Tạo lớp theo năm học và gắn giáo viên chủ nhiệm.</t>
  </si>
  <si>
    <t>SYS-009, SYS-039</t>
  </si>
  <si>
    <t>Lưu lịch sử khi đổi GVCN.</t>
  </si>
  <si>
    <t>Quyền lớp đúng người và thời gian.</t>
  </si>
  <si>
    <t>SYS-021</t>
  </si>
  <si>
    <t>Danh mục vai trò</t>
  </si>
  <si>
    <t>Quản lý các vai trò chuẩn của trường.</t>
  </si>
  <si>
    <t>Ưu tiên vai trò chuẩn và cấu hình quyền.</t>
  </si>
  <si>
    <t>Vai trò gán được cho nhân sự.</t>
  </si>
  <si>
    <t>SYS-022</t>
  </si>
  <si>
    <t>Phân quyền theo hành động</t>
  </si>
  <si>
    <t>Tách quyền xem, tạo, sửa, hủy, giao, xác nhận, xuất.</t>
  </si>
  <si>
    <t>Backend, Web</t>
  </si>
  <si>
    <t>Kiểm tra tại API, không chỉ ẩn nút.</t>
  </si>
  <si>
    <t>API trái quyền bị từ chối; UI hiện đúng hành động.</t>
  </si>
  <si>
    <t>SYS-023</t>
  </si>
  <si>
    <t>Phạm vi theo tổ</t>
  </si>
  <si>
    <t>Giới hạn dữ liệu Tổ trưởng và Tổ phó trong tổ.</t>
  </si>
  <si>
    <t>Tổ trưởng, Tổ phó</t>
  </si>
  <si>
    <t>SYS-018, SYS-022</t>
  </si>
  <si>
    <t>Tính theo cơ cấu tại thời điểm dữ liệu.</t>
  </si>
  <si>
    <t>Không xem được người ngoài tổ.</t>
  </si>
  <si>
    <t>SYS-024</t>
  </si>
  <si>
    <t>Phạm vi theo lớp</t>
  </si>
  <si>
    <t>Giới hạn GVCN trong lớp và năm học được phân công.</t>
  </si>
  <si>
    <t>SYS-020, SYS-022</t>
  </si>
  <si>
    <t>Quyền lớp cũ kết thúc khi đổi GVCN.</t>
  </si>
  <si>
    <t>Chỉ xem và nhập đúng lớp.</t>
  </si>
  <si>
    <t>SYS-025</t>
  </si>
  <si>
    <t>Phạm vi người tạo và người nhận</t>
  </si>
  <si>
    <t>Giới hạn sửa dữ liệu theo người tạo, người giao, người nhận.</t>
  </si>
  <si>
    <t>Các vai trò nghiệp vụ</t>
  </si>
  <si>
    <t>Quyền đặc biệt của BGH phải cấu hình rõ.</t>
  </si>
  <si>
    <t>Không sửa được bản ghi ngoài phạm vi.</t>
  </si>
  <si>
    <t>SYS-026</t>
  </si>
  <si>
    <t>Kiểm thử ma trận quyền</t>
  </si>
  <si>
    <t>Test từng vai trò, hành động và phạm vi dữ liệu.</t>
  </si>
  <si>
    <t>QA, PO, BGH</t>
  </si>
  <si>
    <t>SYS-021 đến SYS-025</t>
  </si>
  <si>
    <t>Bắt buộc trước UAT do dữ liệu nhạy cảm.</t>
  </si>
  <si>
    <t>Ca cho phép và từ chối đều đúng; không rò rỉ dữ liệu.</t>
  </si>
  <si>
    <t>SYS-027</t>
  </si>
  <si>
    <t>Quản lý tệp</t>
  </si>
  <si>
    <t>Tải tệp đính kèm</t>
  </si>
  <si>
    <t>Tải PDF, Word, Excel và ảnh vào hồ sơ.</t>
  </si>
  <si>
    <t>Người được phân quyền</t>
  </si>
  <si>
    <t>Hạ tầng lưu trữ</t>
  </si>
  <si>
    <t>Tệp không dùng URL công khai; kiểm tra định dạng và dung lượng.</t>
  </si>
  <si>
    <t>Tệp hợp lệ lưu được; file sai bị chặn rõ ràng.</t>
  </si>
  <si>
    <t>SYS-028</t>
  </si>
  <si>
    <t>Xem trước và tải xuống</t>
  </si>
  <si>
    <t>Mở hoặc tải tệp theo quyền của hồ sơ gốc.</t>
  </si>
  <si>
    <t>API tải file phải kiểm tra quyền.</t>
  </si>
  <si>
    <t>Người có quyền truy cập; người ngoài phạm vi bị từ chối.</t>
  </si>
  <si>
    <t>SYS-029</t>
  </si>
  <si>
    <t>Phiên bản tệp</t>
  </si>
  <si>
    <t>Giữ các phiên bản file nộp và file thay thế.</t>
  </si>
  <si>
    <t>Người dùng nghiệp vụ</t>
  </si>
  <si>
    <t>Không ghi đè file cũ.</t>
  </si>
  <si>
    <t>Xem được người tải, thời gian và từng phiên bản.</t>
  </si>
  <si>
    <t>SYS-030</t>
  </si>
  <si>
    <t>Kiểm tra file nguy hiểm</t>
  </si>
  <si>
    <t>Kiểm tra loại file, dung lượng, tên file và nội dung rủi ro.</t>
  </si>
  <si>
    <t>Cần chốt giới hạn mỗi file và mỗi hồ sơ.</t>
  </si>
  <si>
    <t>File lỗi không được lưu; có log kỹ thuật.</t>
  </si>
  <si>
    <t>SYS-031</t>
  </si>
  <si>
    <t>Thông báo</t>
  </si>
  <si>
    <t>Trung tâm thông báo web</t>
  </si>
  <si>
    <t>Danh sách thông báo, số chưa đọc và liên kết tác vụ.</t>
  </si>
  <si>
    <t>Mỗi thông báo phải gắn mã bản ghi.</t>
  </si>
  <si>
    <t>Đọc từng mục hoặc tất cả; mở đúng màn hình.</t>
  </si>
  <si>
    <t>SYS-032</t>
  </si>
  <si>
    <t>Push notification</t>
  </si>
  <si>
    <t>Gửi thông báo đẩy trên Android và iOS.</t>
  </si>
  <si>
    <t>Android, iOS</t>
  </si>
  <si>
    <t>M6 Ứng dụng</t>
  </si>
  <si>
    <t>Ứng dụng phát hành, SYS-031</t>
  </si>
  <si>
    <t>Thiết bị đăng xuất phải ngừng nhận push.</t>
  </si>
  <si>
    <t>Nhận đúng người; nhấn mở đúng tác vụ.</t>
  </si>
  <si>
    <t>SYS-033</t>
  </si>
  <si>
    <t>Dịch vụ phân phối thông báo</t>
  </si>
  <si>
    <t>Xử lý sự kiện, người nhận, kênh gửi, retry và chống trùng.</t>
  </si>
  <si>
    <t>Dùng chung cho mọi module.</t>
  </si>
  <si>
    <t>Một sự kiện tạo đúng thông báo; lỗi gửi được retry.</t>
  </si>
  <si>
    <t>SYS-034</t>
  </si>
  <si>
    <t>Trạng thái đã đọc theo người</t>
  </si>
  <si>
    <t>Lưu đã đọc độc lập cho từng người nhận.</t>
  </si>
  <si>
    <t>Không lưu trạng thái chung trên bản ghi nghiệp vụ.</t>
  </si>
  <si>
    <t>Một người đọc không ảnh hưởng người khác.</t>
  </si>
  <si>
    <t>SYS-035</t>
  </si>
  <si>
    <t>Deep link đến tác vụ</t>
  </si>
  <si>
    <t>Mở trực tiếp lịch, task, điểm danh hoặc hồ sơ.</t>
  </si>
  <si>
    <t>SYS-031, module đích</t>
  </si>
  <si>
    <t>Kiểm tra lại quyền khi mở thông báo cũ.</t>
  </si>
  <si>
    <t>Mở đúng chi tiết hoặc báo mất quyền.</t>
  </si>
  <si>
    <t>SYS-036</t>
  </si>
  <si>
    <t>Nhật ký gửi thông báo</t>
  </si>
  <si>
    <t>Lưu người nhận, kênh, thời gian, trạng thái gửi và đọc.</t>
  </si>
  <si>
    <t>Dùng tra soát khi người dùng báo không nhận.</t>
  </si>
  <si>
    <t>Tra cứu được theo người và sự kiện.</t>
  </si>
  <si>
    <t>SYS-037</t>
  </si>
  <si>
    <t>Nhật ký hoạt động</t>
  </si>
  <si>
    <t>Ghi audit log</t>
  </si>
  <si>
    <t>Lưu người, thời gian, hành động, dữ liệu cũ và mới.</t>
  </si>
  <si>
    <t>Các module</t>
  </si>
  <si>
    <t>Bắt buộc với deadline, phân công, nộp và đánh giá.</t>
  </si>
  <si>
    <t>Các thao tác quan trọng đều có log.</t>
  </si>
  <si>
    <t>SYS-038</t>
  </si>
  <si>
    <t>Tra cứu audit log</t>
  </si>
  <si>
    <t>Tìm lịch sử theo người, module, bản ghi và thời gian.</t>
  </si>
  <si>
    <t>BGH, Quản trị trường, VSC</t>
  </si>
  <si>
    <t>Chỉ đọc; không cho người dùng thường xóa sửa.</t>
  </si>
  <si>
    <t>Bộ lọc đúng và hiển thị đủ trước sau.</t>
  </si>
  <si>
    <t>SYS-039</t>
  </si>
  <si>
    <t>Năm học và học kỳ</t>
  </si>
  <si>
    <t>Tạo năm học, học kỳ, ngày bắt đầu, ngày kết thúc.</t>
  </si>
  <si>
    <t>Dữ liệu nghiệp vụ phải gắn năm học.</t>
  </si>
  <si>
    <t>Tạo và chuyển năm học hoạt động đúng.</t>
  </si>
  <si>
    <t>SYS-040</t>
  </si>
  <si>
    <t>Mốc thời gian mặc định</t>
  </si>
  <si>
    <t>Cấu hình giờ deadline và mốc upload điểm danh.</t>
  </si>
  <si>
    <t>Đề xuất 23:59 và 8:30; cần trường xác nhận.</t>
  </si>
  <si>
    <t>Module sử dụng đúng cấu hình.</t>
  </si>
  <si>
    <t>SYS-041</t>
  </si>
  <si>
    <t>Chế độ thử nghiệm</t>
  </si>
  <si>
    <t>Thiết lập khoảng thời gian dữ liệu không tính chính thức.</t>
  </si>
  <si>
    <t>BGH, Quản trị trường</t>
  </si>
  <si>
    <t>M5 Đánh giá</t>
  </si>
  <si>
    <t>Không xóa dữ liệu thử nghiệm; phải gắn nhãn.</t>
  </si>
  <si>
    <t>Báo cáo chính thức loại trừ đúng.</t>
  </si>
  <si>
    <t>SYS-042</t>
  </si>
  <si>
    <t>Chuẩn hóa múi giờ</t>
  </si>
  <si>
    <t>Dùng thống nhất múi giờ Việt Nam trên mọi nền tảng.</t>
  </si>
  <si>
    <t>Backend, Web, Android, iOS</t>
  </si>
  <si>
    <t>Deadline và thời điểm nộp phải dựa trên giờ server.</t>
  </si>
  <si>
    <t>Không lệch ngày giờ giữa các nền tảng.</t>
  </si>
  <si>
    <t>CAL-001</t>
  </si>
  <si>
    <t>Tra cứu lịch</t>
  </si>
  <si>
    <t>Xem lịch cá nhân</t>
  </si>
  <si>
    <t>Xem lịch cũ, hiện tại và sắp tới có liên quan đến cá nhân.</t>
  </si>
  <si>
    <t>Giáo viên, Nhân viên</t>
  </si>
  <si>
    <t>M2 Lịch công tác</t>
  </si>
  <si>
    <t>SYS-009, SYS-031</t>
  </si>
  <si>
    <t>Lịch liên quan khi gắn trực tiếp, theo tổ hoặc nhóm phân công.</t>
  </si>
  <si>
    <t>Chỉ hiện lịch trong phạm vi; chuyển được ngày và tuần.</t>
  </si>
  <si>
    <t>CAL-002</t>
  </si>
  <si>
    <t>Xem lịch toàn trường</t>
  </si>
  <si>
    <t>BGH và Văn phòng xem toàn bộ lịch nhân sự.</t>
  </si>
  <si>
    <t>Có bộ lọc người, tổ, ngày, địa điểm, người tạo.</t>
  </si>
  <si>
    <t>Dữ liệu và bộ lọc chính xác.</t>
  </si>
  <si>
    <t>CAL-003</t>
  </si>
  <si>
    <t>Xem lịch của tổ</t>
  </si>
  <si>
    <t>Tổ trưởng và Tổ phó xem lịch giáo viên trong tổ.</t>
  </si>
  <si>
    <t>Phạm vi tính theo cơ cấu tổ tại thời điểm lịch.</t>
  </si>
  <si>
    <t>Không xem được tổ khác.</t>
  </si>
  <si>
    <t>CAL-004</t>
  </si>
  <si>
    <t>Chế độ ngày, tuần, danh sách</t>
  </si>
  <si>
    <t>Chuyển đổi giữa ba cách hiển thị lịch.</t>
  </si>
  <si>
    <t>Ưu tiên rõ ràng trên máy tính và máy tính bảng.</t>
  </si>
  <si>
    <t>Ba chế độ dùng cùng dữ liệu và bộ lọc.</t>
  </si>
  <si>
    <t>CAL-005</t>
  </si>
  <si>
    <t>Tìm kiếm và lọc lịch</t>
  </si>
  <si>
    <t>Tìm theo nội dung; lọc theo người, tổ, địa điểm, tuần, người tạo.</t>
  </si>
  <si>
    <t>Người quản lý lịch</t>
  </si>
  <si>
    <t>Bộ lọc chỉ chạy trong phạm vi quyền.</t>
  </si>
  <si>
    <t>Kết quả đúng khi kết hợp nhiều điều kiện.</t>
  </si>
  <si>
    <t>CAL-006</t>
  </si>
  <si>
    <t>Tạo lịch</t>
  </si>
  <si>
    <t>Tạo lịch công tác</t>
  </si>
  <si>
    <t>Tạo lịch theo các trường trong file mẫu của trường.</t>
  </si>
  <si>
    <t>Văn thư, Tổ trưởng, Tổ phó</t>
  </si>
  <si>
    <t>File lịch mẫu, SYS-022</t>
  </si>
  <si>
    <t>Không chốt form trước khi đối chiếu file mẫu.</t>
  </si>
  <si>
    <t>Lưu đủ trường bắt buộc và hiển thị đúng.</t>
  </si>
  <si>
    <t>CAL-007</t>
  </si>
  <si>
    <t>Gắn người và tổ được phân công</t>
  </si>
  <si>
    <t>Chọn một hoặc nhiều người, tổ hoặc nhóm tham gia.</t>
  </si>
  <si>
    <t>CAL-006, SYS-017</t>
  </si>
  <si>
    <t>Phân biệt người chủ trì, người thực hiện và người tham gia.</t>
  </si>
  <si>
    <t>Người được gắn thấy lịch; người không liên quan không thấy.</t>
  </si>
  <si>
    <t>CAL-008</t>
  </si>
  <si>
    <t>Lưu nháp và đăng lịch</t>
  </si>
  <si>
    <t>Cho phép lưu nháp, xem trước và công bố lịch.</t>
  </si>
  <si>
    <t>Chỉ lịch đã đăng mới thông báo và hiển thị rộng.</t>
  </si>
  <si>
    <t>Nháp chỉ người tạo thấy; đăng tạo thông báo.</t>
  </si>
  <si>
    <t>CAL-009</t>
  </si>
  <si>
    <t>Cảnh báo trùng lịch</t>
  </si>
  <si>
    <t>Cảnh báo người được phân công có lịch trùng thời gian.</t>
  </si>
  <si>
    <t>Người tạo lịch</t>
  </si>
  <si>
    <t>CAL-006, CAL-007</t>
  </si>
  <si>
    <t>Chỉ cảnh báo, không chặn tuyệt đối.</t>
  </si>
  <si>
    <t>Hiện lịch trùng; người tạo có thể sửa hoặc tiếp tục.</t>
  </si>
  <si>
    <t>CAL-010</t>
  </si>
  <si>
    <t>Đính kèm tài liệu</t>
  </si>
  <si>
    <t>Gắn file liên quan vào lịch công tác.</t>
  </si>
  <si>
    <t>Người tạo, Người xem lịch</t>
  </si>
  <si>
    <t>SYS-027, CAL-006</t>
  </si>
  <si>
    <t>Quyền file theo quyền xem lịch.</t>
  </si>
  <si>
    <t>Người liên quan mở được file; người ngoài bị chặn.</t>
  </si>
  <si>
    <t>CAL-011</t>
  </si>
  <si>
    <t>Chỉnh sửa lịch</t>
  </si>
  <si>
    <t>Sửa lịch do mình tạo</t>
  </si>
  <si>
    <t>Người tạo chỉnh sửa lịch của mình.</t>
  </si>
  <si>
    <t>Người khác chỉ sửa khi có quyền đặc biệt.</t>
  </si>
  <si>
    <t>Sửa đúng quyền; thay đổi có audit.</t>
  </si>
  <si>
    <t>CAL-012</t>
  </si>
  <si>
    <t>Lịch sử chỉnh sửa</t>
  </si>
  <si>
    <t>Lưu giá trị cũ, mới, người sửa, thời gian và lý do.</t>
  </si>
  <si>
    <t>Người tạo, BGH</t>
  </si>
  <si>
    <t>CAL-011, SYS-037</t>
  </si>
  <si>
    <t>Bắt buộc lý do khi lịch đã đăng và thay đổi quan trọng.</t>
  </si>
  <si>
    <t>Xem được từng phiên bản thay đổi.</t>
  </si>
  <si>
    <t>CAL-013</t>
  </si>
  <si>
    <t>Thông báo thay đổi</t>
  </si>
  <si>
    <t>Thông báo khi đổi ngày, giờ, địa điểm, nội dung hoặc phân công.</t>
  </si>
  <si>
    <t>Người liên quan</t>
  </si>
  <si>
    <t>CAL-011, SYS-033</t>
  </si>
  <si>
    <t>Sửa chính tả có thể không gửi; thay đổi quan trọng bắt buộc gửi.</t>
  </si>
  <si>
    <t>Người mới, người bị xóa và người còn liên quan nhận đúng.</t>
  </si>
  <si>
    <t>CAL-014</t>
  </si>
  <si>
    <t>Trạng thái xem</t>
  </si>
  <si>
    <t>Đánh dấu lịch mới</t>
  </si>
  <si>
    <t>Hiển thị nhãn mới và màu nổi bật theo từng người dùng.</t>
  </si>
  <si>
    <t>CAL-001, SYS-034</t>
  </si>
  <si>
    <t>Không lưu trạng thái mới chung trên lịch.</t>
  </si>
  <si>
    <t>Mở chi tiết chuyển đã xem mà không ảnh hưởng người khác.</t>
  </si>
  <si>
    <t>CAL-015</t>
  </si>
  <si>
    <t>Đánh dấu đã cập nhật</t>
  </si>
  <si>
    <t>Hiển thị nhãn khi lịch có thay đổi quan trọng.</t>
  </si>
  <si>
    <t>Nên chỉ rõ nội dung thay đổi chính.</t>
  </si>
  <si>
    <t>Người dùng nhận biết và mở được lịch sử.</t>
  </si>
  <si>
    <t>CAL-016</t>
  </si>
  <si>
    <t>Hủy lịch</t>
  </si>
  <si>
    <t>Hủy lịch đã đăng</t>
  </si>
  <si>
    <t>Chuyển lịch sang đã hủy và nhập lý do.</t>
  </si>
  <si>
    <t>Không xóa lịch đã công bố.</t>
  </si>
  <si>
    <t>Lịch hủy còn trong lịch sử; người liên quan nhận thông báo.</t>
  </si>
  <si>
    <t>CAL-017</t>
  </si>
  <si>
    <t>Xóa lịch nháp</t>
  </si>
  <si>
    <t>Xóa lịch chưa từng đăng.</t>
  </si>
  <si>
    <t>Người tạo</t>
  </si>
  <si>
    <t>Chỉ nháp mới được xóa hoàn toàn.</t>
  </si>
  <si>
    <t>Không xóa được lịch đã đăng.</t>
  </si>
  <si>
    <t>CAL-018</t>
  </si>
  <si>
    <t>Thông báo lịch</t>
  </si>
  <si>
    <t>Thông báo lịch mới</t>
  </si>
  <si>
    <t>Gửi tiêu đề, thời gian, địa điểm và liên kết chi tiết.</t>
  </si>
  <si>
    <t>CAL-008, SYS-033</t>
  </si>
  <si>
    <t>Không gửi cho người ngoài phạm vi.</t>
  </si>
  <si>
    <t>Đúng người nhận và đúng deep link.</t>
  </si>
  <si>
    <t>CAL-019</t>
  </si>
  <si>
    <t>Thông báo hủy hoặc đổi phân công</t>
  </si>
  <si>
    <t>Gửi khi lịch bị hủy, thêm người hoặc xóa người.</t>
  </si>
  <si>
    <t>CAL-013, CAL-016</t>
  </si>
  <si>
    <t>Người bị xóa vẫn cần nhận thông báo cuối.</t>
  </si>
  <si>
    <t>Danh sách nhận đúng trước và sau thay đổi.</t>
  </si>
  <si>
    <t>CAL-020</t>
  </si>
  <si>
    <t>Xuất lịch</t>
  </si>
  <si>
    <t>Xuất lịch cá nhân</t>
  </si>
  <si>
    <t>Xuất PDF hoặc Excel theo tuần và khoảng thời gian.</t>
  </si>
  <si>
    <t>Chỉ xuất dữ liệu được quyền xem.</t>
  </si>
  <si>
    <t>File đúng bộ lọc và phạm vi.</t>
  </si>
  <si>
    <t>CAL-021</t>
  </si>
  <si>
    <t>Xuất lịch theo tổ hoặc toàn trường</t>
  </si>
  <si>
    <t>Xuất lịch theo phạm vi quản lý.</t>
  </si>
  <si>
    <t>CAL-002, CAL-003</t>
  </si>
  <si>
    <t>Định dạng đối chiếu mẫu lịch hiện tại.</t>
  </si>
  <si>
    <t>File đúng tuần, tổ và định dạng chốt.</t>
  </si>
  <si>
    <t>CAL-022</t>
  </si>
  <si>
    <t>Không xây luồng duyệt lịch</t>
  </si>
  <si>
    <t>Giữ việc duyệt bằng trao đổi trực tiếp như hiện tại.</t>
  </si>
  <si>
    <t>PO, BA, Dev</t>
  </si>
  <si>
    <t>Tài liệu</t>
  </si>
  <si>
    <t>Xác nhận nhà trường</t>
  </si>
  <si>
    <t>Không tạo trạng thái phê duyệt nếu chưa có change request.</t>
  </si>
  <si>
    <t>Backlog và UI không chứa bước ngoài phạm vi.</t>
  </si>
  <si>
    <t>CAL-023</t>
  </si>
  <si>
    <t>Dữ liệu</t>
  </si>
  <si>
    <t>Đối chiếu file lịch mẫu</t>
  </si>
  <si>
    <t>Chốt cột, trường bắt buộc và định dạng xuất.</t>
  </si>
  <si>
    <t>PO, BA, Văn thư, Dev</t>
  </si>
  <si>
    <t>File mẫu từ trường</t>
  </si>
  <si>
    <t>Là đầu vào bắt buộc trước khi hoàn thiện form.</t>
  </si>
  <si>
    <t>Có tài liệu mapping được xác nhận.</t>
  </si>
  <si>
    <t>CAL-024</t>
  </si>
  <si>
    <t>Kiểm thử</t>
  </si>
  <si>
    <t>Kiểm thử phân quyền lịch</t>
  </si>
  <si>
    <t>Test quyền xem, tạo, sửa, hủy của từng vai trò.</t>
  </si>
  <si>
    <t>QA, PO, Thầy Vương, Thầy Tuấn</t>
  </si>
  <si>
    <t>CAL-001 đến CAL-017</t>
  </si>
  <si>
    <t>Bao gồm đổi tổ và đổi vai trò theo thời gian.</t>
  </si>
  <si>
    <t>Không có lịch bị lộ hoặc sửa sai phạm vi.</t>
  </si>
  <si>
    <t>CAL-025</t>
  </si>
  <si>
    <t>Kiểm thử thông báo lịch</t>
  </si>
  <si>
    <t>Test lịch mới, lịch sửa, hủy và đổi người.</t>
  </si>
  <si>
    <t>CAL-013, CAL-018, CAL-019</t>
  </si>
  <si>
    <t>Kiểm tra chống gửi trùng và deep link.</t>
  </si>
  <si>
    <t>Mỗi sự kiện gửi đúng đối tượng và một lần.</t>
  </si>
  <si>
    <t>DOC-001</t>
  </si>
  <si>
    <t>Văn bản đến</t>
  </si>
  <si>
    <t>Tạo hồ sơ văn bản</t>
  </si>
  <si>
    <t>Nhập thông tin công văn và đính kèm file gốc.</t>
  </si>
  <si>
    <t>Văn thư, Hành chính</t>
  </si>
  <si>
    <t>M3 Công việc và văn bản</t>
  </si>
  <si>
    <t>SYS-027, file công văn mẫu</t>
  </si>
  <si>
    <t>Trường chính thức phải được nhà trường chốt trước khi code.</t>
  </si>
  <si>
    <t>Lưu được số, ký hiệu, ngày, cơ quan, trích yếu, file và người tiếp nhận.</t>
  </si>
  <si>
    <t>DOC-002</t>
  </si>
  <si>
    <t>Lưu nháp văn bản</t>
  </si>
  <si>
    <t>Lưu hồ sơ chưa hoàn chỉnh trước khi gửi BGH.</t>
  </si>
  <si>
    <t>Nháp chỉ người tạo và người quản trị xem.</t>
  </si>
  <si>
    <t>Nháp không tạo task hoặc thông báo chính thức.</t>
  </si>
  <si>
    <t>DOC-003</t>
  </si>
  <si>
    <t>Cảnh báo văn bản trùng</t>
  </si>
  <si>
    <t>Kiểm tra số, ký hiệu, cơ quan và ngày ban hành.</t>
  </si>
  <si>
    <t>Cảnh báo nhưng không chặn tuyệt đối.</t>
  </si>
  <si>
    <t>Hiện hồ sơ nghi trùng và cho phép xác nhận tiếp tục.</t>
  </si>
  <si>
    <t>DOC-004</t>
  </si>
  <si>
    <t>Tìm kiếm và lọc văn bản</t>
  </si>
  <si>
    <t>Tìm theo số, ký hiệu, trích yếu; lọc theo cơ quan, loại, ngày, trạng thái.</t>
  </si>
  <si>
    <t>BGH, Văn phòng, Văn thư</t>
  </si>
  <si>
    <t>Cần phân trang và đúng phạm vi quyền.</t>
  </si>
  <si>
    <t>Bộ lọc kết hợp đúng; mở được file và chi tiết.</t>
  </si>
  <si>
    <t>DOC-005</t>
  </si>
  <si>
    <t>Xử lý văn bản</t>
  </si>
  <si>
    <t>Gửi BGH xem xét</t>
  </si>
  <si>
    <t>Chuyển văn bản sang chờ BGH và gửi thông báo.</t>
  </si>
  <si>
    <t>Văn thư, BGH</t>
  </si>
  <si>
    <t>DOC-002, SYS-033</t>
  </si>
  <si>
    <t>Hiện tại ưu tiên ghi ý kiến chỉ đạo, không coi là phê duyệt nhiều cấp.</t>
  </si>
  <si>
    <t>BGH nhận thông báo; trạng thái chuyển đúng.</t>
  </si>
  <si>
    <t>DOC-006</t>
  </si>
  <si>
    <t>BGH ghi ý kiến chỉ đạo</t>
  </si>
  <si>
    <t>Xem file, ghi ý kiến và xác định tổ hoặc cá nhân xử lý.</t>
  </si>
  <si>
    <t>Lưu người, thời gian và lịch sử ý kiến.</t>
  </si>
  <si>
    <t>Ý kiến hiển thị đúng người được phân công.</t>
  </si>
  <si>
    <t>DOC-007</t>
  </si>
  <si>
    <t>Trả văn bản để bổ sung</t>
  </si>
  <si>
    <t>Yêu cầu Văn thư sửa thông tin hoặc bổ sung file.</t>
  </si>
  <si>
    <t>Yêu cầu phải có ghi chú và thông báo.</t>
  </si>
  <si>
    <t>Văn thư nhận, sửa và gửi lại; lịch sử còn nguyên.</t>
  </si>
  <si>
    <t>DOC-008</t>
  </si>
  <si>
    <t>Xem tiến độ tổng thể</t>
  </si>
  <si>
    <t>Hiển thị các task phát sinh và trạng thái từng đơn vị.</t>
  </si>
  <si>
    <t>TASK-001</t>
  </si>
  <si>
    <t>Một văn bản có nhiều task độc lập.</t>
  </si>
  <si>
    <t>Chi tiết hiển thị đủ task, người, deadline và tiến độ.</t>
  </si>
  <si>
    <t>DOC-009</t>
  </si>
  <si>
    <t>Đóng hồ sơ văn bản</t>
  </si>
  <si>
    <t>Đóng khi các task đã kết thúc hoặc BGH quyết định.</t>
  </si>
  <si>
    <t>Không tự đóng khi còn task hoạt động nếu không có lý do đặc biệt.</t>
  </si>
  <si>
    <t>Trạng thái đóng lưu đúng; không tạo task mới trừ khi mở lại.</t>
  </si>
  <si>
    <t>DOC-010</t>
  </si>
  <si>
    <t>Hủy văn bản nhập sai</t>
  </si>
  <si>
    <t>Hủy hồ sơ và ghi lý do thay vì xóa sau khi đã sử dụng.</t>
  </si>
  <si>
    <t>Chỉ nháp chưa dùng mới được xóa hoàn toàn.</t>
  </si>
  <si>
    <t>Hồ sơ hủy còn tra cứu và không tạo task.</t>
  </si>
  <si>
    <t>DOC-011</t>
  </si>
  <si>
    <t>Mapping trường công văn</t>
  </si>
  <si>
    <t>Chốt trường dữ liệu, trạng thái và quyền theo mẫu thật.</t>
  </si>
  <si>
    <t>PO, BA, Văn thư, BGH, Dev</t>
  </si>
  <si>
    <t>Là đầu vào bắt buộc cho database và form.</t>
  </si>
  <si>
    <t>Tài liệu mapping được đại diện trường xác nhận.</t>
  </si>
  <si>
    <t>DOC-012</t>
  </si>
  <si>
    <t>Một văn bản nhiều task</t>
  </si>
  <si>
    <t>Test công văn tạo task cho nhiều tổ và cá nhân.</t>
  </si>
  <si>
    <t>DOC-008, TASK-001</t>
  </si>
  <si>
    <t>Cập nhật một task không ảnh hưởng task khác.</t>
  </si>
  <si>
    <t>Mỗi task có người, deadline, file, trạng thái, đánh giá riêng.</t>
  </si>
  <si>
    <t>Tạo công việc</t>
  </si>
  <si>
    <t>Tạo nhiều task từ một văn bản</t>
  </si>
  <si>
    <t>Tạo đầu việc độc lập cho từng tổ hoặc cá nhân.</t>
  </si>
  <si>
    <t>Văn thư, Hành chính, BGH, Người quản lý</t>
  </si>
  <si>
    <t>DOC-006, SYS-009</t>
  </si>
  <si>
    <t>Mỗi task có mã, người chính, deadline và kết quả riêng.</t>
  </si>
  <si>
    <t>Tạo được nhiều task và liên kết về văn bản nguồn.</t>
  </si>
  <si>
    <t>TASK-002</t>
  </si>
  <si>
    <t>Người chịu trách nhiệm chính</t>
  </si>
  <si>
    <t>Mỗi task bắt buộc có một người chịu trách nhiệm.</t>
  </si>
  <si>
    <t>Người giao việc</t>
  </si>
  <si>
    <t>Nếu giao tổ mà chưa chọn người, Tổ trưởng tiếp nhận tạm.</t>
  </si>
  <si>
    <t>Không phát hành task thiếu cơ chế chịu trách nhiệm.</t>
  </si>
  <si>
    <t>TASK-003</t>
  </si>
  <si>
    <t>Người phối hợp</t>
  </si>
  <si>
    <t>Gắn một hoặc nhiều người phối hợp xử lý.</t>
  </si>
  <si>
    <t>Cần chốt quyền nộp của người phối hợp.</t>
  </si>
  <si>
    <t>Người phối hợp nhận thông báo và xem đúng quyền.</t>
  </si>
  <si>
    <t>TASK-004</t>
  </si>
  <si>
    <t>Giao task cho tổ</t>
  </si>
  <si>
    <t>Tổ trưởng tiếp nhận và phân công người thực hiện.</t>
  </si>
  <si>
    <t>BGH, Văn phòng, Văn thư, Tổ trưởng</t>
  </si>
  <si>
    <t>SYS-017, TASK-002</t>
  </si>
  <si>
    <t>Deadline ban đầu không tự đổi khi phân công lại.</t>
  </si>
  <si>
    <t>Tổ trưởng chỉ định người chính; giữ nguyên deadline.</t>
  </si>
  <si>
    <t>TASK-005</t>
  </si>
  <si>
    <t>Thiết lập deadline</t>
  </si>
  <si>
    <t>Chọn ngày giờ hết hạn hoặc dùng giờ mặc định.</t>
  </si>
  <si>
    <t>Lưu deadline ban đầu và các lần điều chỉnh.</t>
  </si>
  <si>
    <t>Hiển thị nhất quán; thay đổi có audit và thông báo.</t>
  </si>
  <si>
    <t>TASK-006</t>
  </si>
  <si>
    <t>Ưu tiên, hướng dẫn và file</t>
  </si>
  <si>
    <t>Nhập mức ưu tiên, yêu cầu, ghi chú, tài liệu bổ sung.</t>
  </si>
  <si>
    <t>TASK-001, SYS-027</t>
  </si>
  <si>
    <t>Nội dung phải làm rõ đầu ra cần nộp.</t>
  </si>
  <si>
    <t>Task hiển thị đủ yêu cầu, ưu tiên và tài liệu.</t>
  </si>
  <si>
    <t>TASK-007</t>
  </si>
  <si>
    <t>Lưu nháp và phát hành</t>
  </si>
  <si>
    <t>Xem trước trước khi gửi task đến người nhận.</t>
  </si>
  <si>
    <t>Chỉ task phát hành mới tính deadline và gửi thông báo.</t>
  </si>
  <si>
    <t>Nháp không hiện cho người nhận; phát hành tạo log.</t>
  </si>
  <si>
    <t>TASK-008</t>
  </si>
  <si>
    <t>Thông báo task</t>
  </si>
  <si>
    <t>Thông báo giao việc mới</t>
  </si>
  <si>
    <t>Gửi tên task, người giao, deadline và liên kết.</t>
  </si>
  <si>
    <t>Người nhận việc</t>
  </si>
  <si>
    <t>TASK-007, SYS-033</t>
  </si>
  <si>
    <t>Gửi cho người chính, phối hợp và quản lý liên quan.</t>
  </si>
  <si>
    <t>Đúng đối tượng; mở đúng task.</t>
  </si>
  <si>
    <t>TASK-009</t>
  </si>
  <si>
    <t>Danh sách task</t>
  </si>
  <si>
    <t>Công việc cá nhân</t>
  </si>
  <si>
    <t>Xem task đang làm, sắp hạn, quá hạn, cần sửa, đã nộp, hoàn thành.</t>
  </si>
  <si>
    <t>Mặc định sắp theo deadline gần nhất.</t>
  </si>
  <si>
    <t>Chỉ hiện task của mình hoặc được phối hợp.</t>
  </si>
  <si>
    <t>TASK-010</t>
  </si>
  <si>
    <t>Công việc của tổ</t>
  </si>
  <si>
    <t>Tổ trưởng và Tổ phó theo dõi thành viên trong tổ.</t>
  </si>
  <si>
    <t>SYS-023, TASK-009</t>
  </si>
  <si>
    <t>Giáo viên thường không xem task riêng của đồng nghiệp.</t>
  </si>
  <si>
    <t>Bộ lọc theo người và trạng thái đúng.</t>
  </si>
  <si>
    <t>TASK-011</t>
  </si>
  <si>
    <t>Công việc toàn trường</t>
  </si>
  <si>
    <t>BGH và Văn phòng theo dõi toàn bộ task.</t>
  </si>
  <si>
    <t>Phân trang; lọc tổ, người, trạng thái, deadline, văn bản.</t>
  </si>
  <si>
    <t>Dữ liệu đúng phạm vi và bộ lọc.</t>
  </si>
  <si>
    <t>TASK-012</t>
  </si>
  <si>
    <t>Chi tiết task</t>
  </si>
  <si>
    <t>Chi tiết và lịch sử</t>
  </si>
  <si>
    <t>Hiển thị yêu cầu, nguồn, người, deadline, file, lần nộp và lịch sử.</t>
  </si>
  <si>
    <t>TASK-001, SYS-037</t>
  </si>
  <si>
    <t>Không gộp các phiên bản file.</t>
  </si>
  <si>
    <t>Thông tin đầy đủ theo trình tự thời gian.</t>
  </si>
  <si>
    <t>TASK-013</t>
  </si>
  <si>
    <t>Thực hiện task</t>
  </si>
  <si>
    <t>Đã xem và bắt đầu</t>
  </si>
  <si>
    <t>Ghi thời điểm người nhận mở và bắt đầu thực hiện.</t>
  </si>
  <si>
    <t>Người chịu trách nhiệm</t>
  </si>
  <si>
    <t>Đã xem có thể tự động; bắt đầu do người dùng chọn.</t>
  </si>
  <si>
    <t>Người quản lý thấy thời điểm chính xác.</t>
  </si>
  <si>
    <t>TASK-014</t>
  </si>
  <si>
    <t>Ghi chú tiến độ</t>
  </si>
  <si>
    <t>Thêm ghi chú tiến độ trước khi nộp.</t>
  </si>
  <si>
    <t>Ghi chú không thay thế kết quả nộp.</t>
  </si>
  <si>
    <t>Người quản lý xem được theo thời gian.</t>
  </si>
  <si>
    <t>TASK-015</t>
  </si>
  <si>
    <t>Nộp kết quả</t>
  </si>
  <si>
    <t>Lưu nháp kết quả</t>
  </si>
  <si>
    <t>Tải file và nhập phản hồi nhưng chưa gửi kiểm tra.</t>
  </si>
  <si>
    <t>SYS-027, TASK-012</t>
  </si>
  <si>
    <t>Nháp không chuyển trạng thái hoặc gửi thông báo.</t>
  </si>
  <si>
    <t>Mở lại vẫn giữ dữ liệu nháp.</t>
  </si>
  <si>
    <t>TASK-016</t>
  </si>
  <si>
    <t>Gửi file, nội dung phản hồi và thời điểm nộp.</t>
  </si>
  <si>
    <t>Cho phép nộp trễ và khóa thời điểm theo server.</t>
  </si>
  <si>
    <t>Chuyển chờ kiểm tra; người quản lý nhận thông báo.</t>
  </si>
  <si>
    <t>TASK-017</t>
  </si>
  <si>
    <t>Ghi nhận đúng hạn hoặc trễ</t>
  </si>
  <si>
    <t>So sánh thời điểm nộp với deadline áp dụng.</t>
  </si>
  <si>
    <t>TASK-005, TASK-016</t>
  </si>
  <si>
    <t>Không xóa dấu vết trễ khi deadline đổi sau đó.</t>
  </si>
  <si>
    <t>Lưu deadline áp dụng, thời điểm và mức trễ.</t>
  </si>
  <si>
    <t>TASK-018</t>
  </si>
  <si>
    <t>Nhắc hạn</t>
  </si>
  <si>
    <t>Nhắc trước hạn 2 ngày</t>
  </si>
  <si>
    <t>Gửi nhắc bắt buộc trước deadline hai ngày.</t>
  </si>
  <si>
    <t>TASK-005, SYS-033</t>
  </si>
  <si>
    <t>Người dùng không được tắt mốc này.</t>
  </si>
  <si>
    <t>Task mở nhận đúng mốc; task đóng không nhận.</t>
  </si>
  <si>
    <t>TASK-019</t>
  </si>
  <si>
    <t>Mốc nhắc bổ sung</t>
  </si>
  <si>
    <t>Hỗ trợ nhắc 7, 3, 1 ngày, trong ngày và sau hạn.</t>
  </si>
  <si>
    <t>Người giao, Quản trị trường</t>
  </si>
  <si>
    <t>Không gửi quá mức; hiển thị rõ mốc đã chọn.</t>
  </si>
  <si>
    <t>Các mốc hoạt động và không ảnh hưởng mốc bắt buộc.</t>
  </si>
  <si>
    <t>TASK-020</t>
  </si>
  <si>
    <t>Thông báo quá hạn</t>
  </si>
  <si>
    <t>Thông báo khi task chưa nộp vượt deadline.</t>
  </si>
  <si>
    <t>Người chịu trách nhiệm, Người quản lý</t>
  </si>
  <si>
    <t>TASK-017, SYS-033</t>
  </si>
  <si>
    <t>Quá hạn là thuộc tính, không thay thế trạng thái nghiệp vụ.</t>
  </si>
  <si>
    <t>Hiện bước hiện tại, cờ quá hạn và số ngày trễ.</t>
  </si>
  <si>
    <t>TASK-021</t>
  </si>
  <si>
    <t>Kiểm tra kết quả</t>
  </si>
  <si>
    <t>Thông báo có kết quả mới</t>
  </si>
  <si>
    <t>Báo người quản lý khi có lần nộp hoặc nộp lại.</t>
  </si>
  <si>
    <t>Người quản lý</t>
  </si>
  <si>
    <t>TASK-016, SYS-033</t>
  </si>
  <si>
    <t>Phân biệt lần nộp đầu và lần sửa.</t>
  </si>
  <si>
    <t>Mở đúng phiên bản nộp.</t>
  </si>
  <si>
    <t>TASK-022</t>
  </si>
  <si>
    <t>Xem file và trạng thái deadline</t>
  </si>
  <si>
    <t>Xem toàn bộ file, phản hồi và thông tin đúng hạn.</t>
  </si>
  <si>
    <t>Mỗi lần nộp là phiên bản riêng.</t>
  </si>
  <si>
    <t>Xem và tải được từng lần.</t>
  </si>
  <si>
    <t>TASK-023</t>
  </si>
  <si>
    <t>Chỉnh sửa kết quả</t>
  </si>
  <si>
    <t>Yêu cầu chỉnh sửa lần một</t>
  </si>
  <si>
    <t>Nhập yêu cầu và deadline mới, gửi người thực hiện.</t>
  </si>
  <si>
    <t>Người quản lý, Người thực hiện</t>
  </si>
  <si>
    <t>Bắt buộc ghi chú và deadline mới.</t>
  </si>
  <si>
    <t>Trạng thái, bộ đếm và thông báo đúng.</t>
  </si>
  <si>
    <t>TASK-024</t>
  </si>
  <si>
    <t>Nộp lại lần một</t>
  </si>
  <si>
    <t>Gửi phiên bản mới theo yêu cầu lần một.</t>
  </si>
  <si>
    <t>Giữ file ban đầu và deadline áp dụng.</t>
  </si>
  <si>
    <t>Phiên bản mới lưu riêng; quản lý được báo.</t>
  </si>
  <si>
    <t>TASK-025</t>
  </si>
  <si>
    <t>Yêu cầu chỉnh sửa lần hai</t>
  </si>
  <si>
    <t>Gửi yêu cầu cuối và deadline mới.</t>
  </si>
  <si>
    <t>Không cho lần thứ ba trong quy trình thường.</t>
  </si>
  <si>
    <t>Bộ đếm là hai; nút sửa tiếp theo bị chặn.</t>
  </si>
  <si>
    <t>TASK-026</t>
  </si>
  <si>
    <t>Nộp lại lần hai</t>
  </si>
  <si>
    <t>Gửi phiên bản cuối sau lần sửa thứ hai.</t>
  </si>
  <si>
    <t>Giữ đủ ba phiên bản và deadline.</t>
  </si>
  <si>
    <t>Chuỗi nộp và yêu cầu hiển thị đầy đủ.</t>
  </si>
  <si>
    <t>TASK-027</t>
  </si>
  <si>
    <t>Đóng task</t>
  </si>
  <si>
    <t>Xác nhận hoàn thành</t>
  </si>
  <si>
    <t>Người quản lý đóng task và nhập nhận xét.</t>
  </si>
  <si>
    <t>TASK-022 hoặc TASK-024 hoặc TASK-026</t>
  </si>
  <si>
    <t>Người thực hiện không tự đóng kết quả cuối.</t>
  </si>
  <si>
    <t>Lưu người xác nhận và thời điểm đóng.</t>
  </si>
  <si>
    <t>TASK-028</t>
  </si>
  <si>
    <t>Đánh giá phần trăm</t>
  </si>
  <si>
    <t>Nhập mức hoàn thành nguyên từ 0 đến 100.</t>
  </si>
  <si>
    <t>Cần chốt nhận xét bắt buộc khi dưới 100.</t>
  </si>
  <si>
    <t>Chỉ nhận số hợp lệ; lưu audit.</t>
  </si>
  <si>
    <t>TASK-029</t>
  </si>
  <si>
    <t>Không hoàn thành hoặc xử lý đặc biệt</t>
  </si>
  <si>
    <t>Sau hai lần sửa, đóng không hoàn thành hoặc chuyển BGH.</t>
  </si>
  <si>
    <t>Người quản lý, BGH</t>
  </si>
  <si>
    <t>Nhà trường chốt quyền và trạng thái cuối.</t>
  </si>
  <si>
    <t>Không tạo lần sửa thứ ba; lý do được lưu.</t>
  </si>
  <si>
    <t>TASK-030</t>
  </si>
  <si>
    <t>Thay đổi task</t>
  </si>
  <si>
    <t>Đổi người chịu trách nhiệm</t>
  </si>
  <si>
    <t>Chuyển task sang nhân sự khác và nhập lý do.</t>
  </si>
  <si>
    <t>Người giao, BGH, Tổ trưởng</t>
  </si>
  <si>
    <t>Giữ lịch sử người cũ, mới và thời điểm.</t>
  </si>
  <si>
    <t>Người mới nhận quyền; các bên được thông báo.</t>
  </si>
  <si>
    <t>TASK-031</t>
  </si>
  <si>
    <t>Thay đổi deadline</t>
  </si>
  <si>
    <t>Cập nhật deadline và ghi lý do.</t>
  </si>
  <si>
    <t>Người giao, BGH</t>
  </si>
  <si>
    <t>Không xóa deadline cũ hoặc lịch sử quá hạn.</t>
  </si>
  <si>
    <t>Lưu cũ, mới và gửi thông báo.</t>
  </si>
  <si>
    <t>TASK-032</t>
  </si>
  <si>
    <t>Hủy task</t>
  </si>
  <si>
    <t>Hủy task chưa hoàn thành và lưu lý do.</t>
  </si>
  <si>
    <t>Không xóa task đã giao; dừng nhắc deadline.</t>
  </si>
  <si>
    <t>Task hủy còn tra cứu; các bên được báo.</t>
  </si>
  <si>
    <t>TASK-033</t>
  </si>
  <si>
    <t>Dữ liệu đánh giá</t>
  </si>
  <si>
    <t>Đồng bộ sang hồ sơ nhân sự</t>
  </si>
  <si>
    <t>Ghi deadline, thời điểm nộp, số lần sửa, phần trăm và nhận xét.</t>
  </si>
  <si>
    <t>Hệ thống, BGH, Tổ trưởng</t>
  </si>
  <si>
    <t>TASK-027, TASK-028</t>
  </si>
  <si>
    <t>Lấy tự động, không cho nhập lại thủ công.</t>
  </si>
  <si>
    <t>Hồ sơ nhân sự hiển thị đúng sau khi đóng task.</t>
  </si>
  <si>
    <t>TASK-034</t>
  </si>
  <si>
    <t>Dashboard tiến độ</t>
  </si>
  <si>
    <t>Tổng hợp task theo trạng thái, đúng hạn, trễ, tổ và cá nhân.</t>
  </si>
  <si>
    <t>TASK-009 đến TASK-033</t>
  </si>
  <si>
    <t>Có bộ lọc thời gian và phạm vi quyền.</t>
  </si>
  <si>
    <t>Chỉ số khớp danh sách chi tiết.</t>
  </si>
  <si>
    <t>TASK-035</t>
  </si>
  <si>
    <t>Xuất báo cáo</t>
  </si>
  <si>
    <t>Xuất Excel hoặc PDF theo thời gian, tổ, cá nhân, trạng thái.</t>
  </si>
  <si>
    <t>Ghi thời gian, bộ lọc và người xuất.</t>
  </si>
  <si>
    <t>File khớp dashboard và quyền.</t>
  </si>
  <si>
    <t>TASK-036</t>
  </si>
  <si>
    <t>Workflow</t>
  </si>
  <si>
    <t>State machine công việc</t>
  </si>
  <si>
    <t>Chuẩn hóa trạng thái và điều kiện chuyển bước.</t>
  </si>
  <si>
    <t>BA, Backend, QA</t>
  </si>
  <si>
    <t>Tài liệu, Backend</t>
  </si>
  <si>
    <t>TASK-001 đến TASK-032</t>
  </si>
  <si>
    <t>Quá hạn là thuộc tính; mỗi transition có quyền và điều kiện.</t>
  </si>
  <si>
    <t>Có sơ đồ được PO duyệt và test transition.</t>
  </si>
  <si>
    <t>TASK-037</t>
  </si>
  <si>
    <t>Deadline và múi giờ</t>
  </si>
  <si>
    <t>Test nhắc hạn, nộp sát giờ, trễ hạn và đổi deadline.</t>
  </si>
  <si>
    <t>TASK-017 đến TASK-020, SYS-042</t>
  </si>
  <si>
    <t>Kết quả phải dựa trên giờ server.</t>
  </si>
  <si>
    <t>Không sai lệch giữa các nền tảng.</t>
  </si>
  <si>
    <t>TASK-038</t>
  </si>
  <si>
    <t>Hai vòng chỉnh sửa</t>
  </si>
  <si>
    <t>Test giới hạn hai lần, phiên bản file và trạng thái.</t>
  </si>
  <si>
    <t>TASK-023 đến TASK-029</t>
  </si>
  <si>
    <t>Không mất file cũ; không có lần thứ ba.</t>
  </si>
  <si>
    <t>Luồng từ nộp đến đóng task hoạt động đúng.</t>
  </si>
  <si>
    <t>CLS-001</t>
  </si>
  <si>
    <t>Danh sách lớp</t>
  </si>
  <si>
    <t>Tạo lớp theo năm học</t>
  </si>
  <si>
    <t>Tạo mã lớp, khối và năm học.</t>
  </si>
  <si>
    <t>M4 Điểm danh và sổ</t>
  </si>
  <si>
    <t>Không dùng một bản ghi lớp cho nhiều năm học.</t>
  </si>
  <si>
    <t>Lớp mới dùng được khi nhập học sinh.</t>
  </si>
  <si>
    <t>CLS-002</t>
  </si>
  <si>
    <t>Gắn giáo viên chủ nhiệm</t>
  </si>
  <si>
    <t>Chỉ định GVCN và thời gian hiệu lực.</t>
  </si>
  <si>
    <t>SYS-020, CLS-001</t>
  </si>
  <si>
    <t>CLS-003</t>
  </si>
  <si>
    <t>Nhập danh sách từ Excel</t>
  </si>
  <si>
    <t>Nhập mã, họ tên, lớp và thông tin cần thiết.</t>
  </si>
  <si>
    <t>Văn phòng, Quản trị trường</t>
  </si>
  <si>
    <t>File mẫu học sinh</t>
  </si>
  <si>
    <t>Có xem trước, báo lỗi theo dòng, kiểm tra trùng.</t>
  </si>
  <si>
    <t>Dữ liệu hợp lệ được nhập; dòng lỗi không làm hỏng cả file.</t>
  </si>
  <si>
    <t>CLS-004</t>
  </si>
  <si>
    <t>Hồ sơ học sinh tối thiểu</t>
  </si>
  <si>
    <t>Thêm, sửa và tra cứu thông tin cần cho điểm danh và sổ.</t>
  </si>
  <si>
    <t>Không lưu hình ảnh học sinh trong phạm vi hiện tại.</t>
  </si>
  <si>
    <t>Mã học sinh duy nhất; không có trường ảnh.</t>
  </si>
  <si>
    <t>CLS-005</t>
  </si>
  <si>
    <t>Chuyển lớp hoặc trạng thái</t>
  </si>
  <si>
    <t>Ghi nhận chuyển lớp, nghỉ học hoặc chuyển trường.</t>
  </si>
  <si>
    <t>Giữ lịch sử để báo cáo cũ không thay đổi.</t>
  </si>
  <si>
    <t>CLS-006</t>
  </si>
  <si>
    <t>Tra cứu và xuất danh sách lớp</t>
  </si>
  <si>
    <t>Tìm và xuất theo lớp, năm học, trạng thái.</t>
  </si>
  <si>
    <t>BGH, Văn phòng, GVCN</t>
  </si>
  <si>
    <t>GVCN chỉ xuất lớp của mình.</t>
  </si>
  <si>
    <t>File đúng bộ lọc và quyền.</t>
  </si>
  <si>
    <t>CLS-007</t>
  </si>
  <si>
    <t>Mapping mã học sinh camera</t>
  </si>
  <si>
    <t>Xác định mã dùng nối file camera với hồ sơ học sinh.</t>
  </si>
  <si>
    <t>PO, BA, Giám thị, Dev</t>
  </si>
  <si>
    <t>File camera, danh sách học sinh</t>
  </si>
  <si>
    <t>Không ghép bằng họ tên.</t>
  </si>
  <si>
    <t>Có quy tắc mapping được trường xác nhận.</t>
  </si>
  <si>
    <t>ATT-001</t>
  </si>
  <si>
    <t>Upload file hằng ngày</t>
  </si>
  <si>
    <t>Giám thị chọn ngày và tải file Excel từ camera.</t>
  </si>
  <si>
    <t>File camera thực tế, CLS-007</t>
  </si>
  <si>
    <t>Mốc vận hành trước 8 giờ 30; không viết parser theo giả định.</t>
  </si>
  <si>
    <t>File đúng mẫu được nhận và xem trước.</t>
  </si>
  <si>
    <t>ATT-002</t>
  </si>
  <si>
    <t>Xem trước dữ liệu</t>
  </si>
  <si>
    <t>Hiển thị tổng dòng, hợp lệ, lỗi, thêm mới và cập nhật.</t>
  </si>
  <si>
    <t>Chưa xác nhận thì chưa ghi dữ liệu chính thức.</t>
  </si>
  <si>
    <t>Người dùng thấy rõ lỗi và dữ liệu sẽ nhập.</t>
  </si>
  <si>
    <t>ATT-003</t>
  </si>
  <si>
    <t>Kiểm tra cấu trúc file</t>
  </si>
  <si>
    <t>Kiểm tra cột, định dạng, ngày, mã và trạng thái.</t>
  </si>
  <si>
    <t>Lỗi phải chỉ rõ dòng, cột, giá trị và nguyên nhân.</t>
  </si>
  <si>
    <t>File sai không được nhập mù.</t>
  </si>
  <si>
    <t>ATT-004</t>
  </si>
  <si>
    <t>Kiểm tra học sinh và lớp</t>
  </si>
  <si>
    <t>Phát hiện mã không tồn tại hoặc sai lớp.</t>
  </si>
  <si>
    <t>Hệ thống, Giám thị</t>
  </si>
  <si>
    <t>CLS-003, ATT-003</t>
  </si>
  <si>
    <t>Không tự tạo học sinh từ file điểm danh.</t>
  </si>
  <si>
    <t>Dòng sai bị chặn, không gán nhầm.</t>
  </si>
  <si>
    <t>ATT-005</t>
  </si>
  <si>
    <t>Chống dữ liệu trùng</t>
  </si>
  <si>
    <t>Phát hiện học sinh trùng và file upload lặp.</t>
  </si>
  <si>
    <t>Áp dụng idempotency theo file, học sinh, ngày và nguồn.</t>
  </si>
  <si>
    <t>Upload lại không nhân đôi dữ liệu.</t>
  </si>
  <si>
    <t>ATT-006</t>
  </si>
  <si>
    <t>Xác nhận nhập</t>
  </si>
  <si>
    <t>Ghi dữ liệu hợp lệ sau khi Giám thị xác nhận.</t>
  </si>
  <si>
    <t>ATT-002 đến ATT-005</t>
  </si>
  <si>
    <t>Dùng transaction hoặc rollback để tránh nhập dở.</t>
  </si>
  <si>
    <t>Số bản ghi nhập khớp màn hình xem trước.</t>
  </si>
  <si>
    <t>ATT-007</t>
  </si>
  <si>
    <t>Lịch sử upload</t>
  </si>
  <si>
    <t>Lưu file nguồn, ngày dữ liệu, người tải và kết quả xử lý.</t>
  </si>
  <si>
    <t>Giám thị, BGH, VSC</t>
  </si>
  <si>
    <t>ATT-006, SYS-027</t>
  </si>
  <si>
    <t>Không xóa file nguồn đã nhập chính thức.</t>
  </si>
  <si>
    <t>Tra cứu và tải được theo quyền.</t>
  </si>
  <si>
    <t>ATT-008</t>
  </si>
  <si>
    <t>Cảnh báo chưa upload</t>
  </si>
  <si>
    <t>Nhắc khi quá 8 giờ 30 chưa có dữ liệu ngày làm việc.</t>
  </si>
  <si>
    <t>SYS-040, SYS-033</t>
  </si>
  <si>
    <t>Cần chốt ngày làm việc và người nhận.</t>
  </si>
  <si>
    <t>Không cảnh báo ngày nghỉ; dừng khi file được xác nhận.</t>
  </si>
  <si>
    <t>ATT-009</t>
  </si>
  <si>
    <t>Lưu trạng thái gốc camera</t>
  </si>
  <si>
    <t>Lưu dữ liệu nguồn riêng với trạng thái xác nhận.</t>
  </si>
  <si>
    <t>Không ghi đè trạng thái gốc khi điều chỉnh.</t>
  </si>
  <si>
    <t>Chi tiết hiện được trạng thái gốc và hiện tại.</t>
  </si>
  <si>
    <t>ATT-010</t>
  </si>
  <si>
    <t>Phân loại vắng</t>
  </si>
  <si>
    <t>Chuyển vắng chưa rõ thành có phép hoặc không phép.</t>
  </si>
  <si>
    <t>Lưu người, thời gian, lý do và ghi chú.</t>
  </si>
  <si>
    <t>Tổng hợp cập nhật; dữ liệu gốc còn nguyên.</t>
  </si>
  <si>
    <t>ATT-011</t>
  </si>
  <si>
    <t>Sửa trạng thái</t>
  </si>
  <si>
    <t>Điều chỉnh trạng thái đã xác nhận khi phát hiện sai.</t>
  </si>
  <si>
    <t>Bắt buộc lý do và audit; minh chứng theo chính sách.</t>
  </si>
  <si>
    <t>Lịch sử thay đổi đầy đủ.</t>
  </si>
  <si>
    <t>ATT-012</t>
  </si>
  <si>
    <t>Tra cứu theo ngày và lớp</t>
  </si>
  <si>
    <t>Xem có mặt, vắng, có phép, không phép.</t>
  </si>
  <si>
    <t>BGH, Giám thị, GVCN</t>
  </si>
  <si>
    <t>GVCN chỉ xem lớp mình; Tổ trưởng không mặc định có quyền.</t>
  </si>
  <si>
    <t>Bộ lọc và tổng số khớp chi tiết.</t>
  </si>
  <si>
    <t>ATT-013</t>
  </si>
  <si>
    <t>Tra cứu theo học sinh và thời gian</t>
  </si>
  <si>
    <t>Xem lịch sử theo học sinh, tuần và tháng.</t>
  </si>
  <si>
    <t>Xử lý đúng học sinh chuyển lớp.</t>
  </si>
  <si>
    <t>Hiển thị đúng lớp tại ngày phát sinh.</t>
  </si>
  <si>
    <t>ATT-014</t>
  </si>
  <si>
    <t>Xuất Excel hoặc PDF theo ngày, lớp, học sinh, tuần, tháng.</t>
  </si>
  <si>
    <t>ATT-012, ATT-013</t>
  </si>
  <si>
    <t>Ghi bộ lọc, ngày xuất và nguồn dữ liệu.</t>
  </si>
  <si>
    <t>Số liệu khớp màn hình và quyền.</t>
  </si>
  <si>
    <t>ATT-015</t>
  </si>
  <si>
    <t>Phân tích file camera</t>
  </si>
  <si>
    <t>Chốt cột, kiểu dữ liệu, trạng thái và ngoại lệ.</t>
  </si>
  <si>
    <t>PO, BA, Giám thị, Backend</t>
  </si>
  <si>
    <t>File Excel thật</t>
  </si>
  <si>
    <t>Bắt buộc trước estimate parser.</t>
  </si>
  <si>
    <t>Có mapping và bộ file test được xác nhận.</t>
  </si>
  <si>
    <t>ATT-016</t>
  </si>
  <si>
    <t>Import lặp và sửa dữ liệu</t>
  </si>
  <si>
    <t>Test upload lại, lỗi một phần, sửa trạng thái và tính lại.</t>
  </si>
  <si>
    <t>QA, PO, Giám thị</t>
  </si>
  <si>
    <t>Web, Backend</t>
  </si>
  <si>
    <t>ATT-001 đến ATT-014</t>
  </si>
  <si>
    <t>Không nhân đôi, không mất dữ liệu gốc.</t>
  </si>
  <si>
    <t>Ca import, update và rollback đạt.</t>
  </si>
  <si>
    <t>HOM-001</t>
  </si>
  <si>
    <t>Spike</t>
  </si>
  <si>
    <t>Phân tích sổ hiện tại</t>
  </si>
  <si>
    <t>Liệt kê trang, trường, nguồn tự động và phần giáo viên nhập.</t>
  </si>
  <si>
    <t>PO, BA, GVCN, Dev</t>
  </si>
  <si>
    <t>Bản scan đầy đủ</t>
  </si>
  <si>
    <t>Không thiết kế form chi tiết khi chưa có inventory.</t>
  </si>
  <si>
    <t>Có mapping từng trang được trường xác nhận.</t>
  </si>
  <si>
    <t>HOM-002</t>
  </si>
  <si>
    <t>Khởi tạo sổ</t>
  </si>
  <si>
    <t>Tạo sổ gắn lớp, GVCN và năm học.</t>
  </si>
  <si>
    <t>GVCN, Văn phòng</t>
  </si>
  <si>
    <t>CLS-001, CLS-002, HOM-001</t>
  </si>
  <si>
    <t>Mỗi lớp có một sổ chính thức mỗi năm.</t>
  </si>
  <si>
    <t>Thông tin lớp và người phụ trách đúng.</t>
  </si>
  <si>
    <t>HOM-003</t>
  </si>
  <si>
    <t>Tự điền dữ liệu lớp</t>
  </si>
  <si>
    <t>Lấy thông tin lớp, giáo viên và học sinh từ dữ liệu nền.</t>
  </si>
  <si>
    <t>GVCN</t>
  </si>
  <si>
    <t>HOM-002, CLS-003</t>
  </si>
  <si>
    <t>Không yêu cầu nhập lại dữ liệu đã có.</t>
  </si>
  <si>
    <t>Dữ liệu hiển thị đúng theo thời điểm.</t>
  </si>
  <si>
    <t>HOM-004</t>
  </si>
  <si>
    <t>Đồng bộ chuyên cần</t>
  </si>
  <si>
    <t>Tổng hợp điểm danh theo học sinh, tuần, tháng, học kỳ.</t>
  </si>
  <si>
    <t>ATT-010, HOM-002</t>
  </si>
  <si>
    <t>Không cho sửa trực tiếp số tổng.</t>
  </si>
  <si>
    <t>Số liệu khớp điểm danh và cập nhật sau điều chỉnh.</t>
  </si>
  <si>
    <t>HOM-005</t>
  </si>
  <si>
    <t>Xem nguồn chuyên cần</t>
  </si>
  <si>
    <t>Mở chi tiết các ngày tạo nên số tổng hợp.</t>
  </si>
  <si>
    <t>Giáo viên yêu cầu Giám thị sửa nguồn, không sửa tổng.</t>
  </si>
  <si>
    <t>Nhấn số tổng mở đúng chi tiết.</t>
  </si>
  <si>
    <t>HOM-006</t>
  </si>
  <si>
    <t>Báo cáo tuần</t>
  </si>
  <si>
    <t>Tạo báo cáo tuần</t>
  </si>
  <si>
    <t>Nhập tình hình lớp, chuyên cần, nề nếp, học tập, lưu ý và kế hoạch.</t>
  </si>
  <si>
    <t>HOM-001, HOM-002</t>
  </si>
  <si>
    <t>Tên trường và bắt buộc theo mẫu thực tế.</t>
  </si>
  <si>
    <t>Lưu đủ nội dung đúng mẫu.</t>
  </si>
  <si>
    <t>HOM-007</t>
  </si>
  <si>
    <t>Lưu nháp</t>
  </si>
  <si>
    <t>Lưu và tiếp tục sửa trước khi hoàn tất.</t>
  </si>
  <si>
    <t>Nháp chưa được xem là đã nộp.</t>
  </si>
  <si>
    <t>Mở lại giữ nguyên nội dung.</t>
  </si>
  <si>
    <t>HOM-008</t>
  </si>
  <si>
    <t>Hoàn tất báo cáo</t>
  </si>
  <si>
    <t>Đánh dấu báo cáo tuần đã hoàn tất.</t>
  </si>
  <si>
    <t>Cần chốt có người kiểm tra hay chỉ khóa theo hạn.</t>
  </si>
  <si>
    <t>Lưu người và thời điểm hoàn tất.</t>
  </si>
  <si>
    <t>HOM-009</t>
  </si>
  <si>
    <t>Báo cáo tháng</t>
  </si>
  <si>
    <t>Tổng hợp chuyên cần tháng</t>
  </si>
  <si>
    <t>Tính học sinh vắng, lượt có phép và không phép.</t>
  </si>
  <si>
    <t>Định nghĩa rõ số học sinh và số lượt.</t>
  </si>
  <si>
    <t>Số liệu khớp chi tiết và cập nhật tự động.</t>
  </si>
  <si>
    <t>HOM-010</t>
  </si>
  <si>
    <t>Nhận xét và kế hoạch tháng</t>
  </si>
  <si>
    <t>Nhập vấn đề, biện pháp và kế hoạch tiếp theo.</t>
  </si>
  <si>
    <t>Theo mẫu chốt và hỗ trợ lưu nháp.</t>
  </si>
  <si>
    <t>Lưu, sửa và hoàn tất đúng trạng thái.</t>
  </si>
  <si>
    <t>HOM-011</t>
  </si>
  <si>
    <t>Khóa sổ</t>
  </si>
  <si>
    <t>Khóa theo thời hạn</t>
  </si>
  <si>
    <t>Khóa báo cáo tuần hoặc tháng sau mốc quy định.</t>
  </si>
  <si>
    <t>Hệ thống, GVCN</t>
  </si>
  <si>
    <t>SYS-040, HOM-008, HOM-010</t>
  </si>
  <si>
    <t>Cần trường chốt ngày khóa.</t>
  </si>
  <si>
    <t>Sau khóa chỉ xem; thời gian khóa hiển thị.</t>
  </si>
  <si>
    <t>HOM-012</t>
  </si>
  <si>
    <t>Mở khóa có lý do</t>
  </si>
  <si>
    <t>Người có quyền mở để giáo viên sửa.</t>
  </si>
  <si>
    <t>Lưu phiên bản trước và nhật ký mở khóa.</t>
  </si>
  <si>
    <t>Chỉ đúng quyền; lý do bắt buộc.</t>
  </si>
  <si>
    <t>HOM-013</t>
  </si>
  <si>
    <t>Khóa cuối kỳ và năm</t>
  </si>
  <si>
    <t>Chốt toàn bộ sổ để lưu trữ.</t>
  </si>
  <si>
    <t>Sửa sau khóa phải tạo phiên bản mới.</t>
  </si>
  <si>
    <t>Sổ chuyển lưu trữ và gắn file cuối.</t>
  </si>
  <si>
    <t>HOM-014</t>
  </si>
  <si>
    <t>Lưu trữ</t>
  </si>
  <si>
    <t>Tra cứu sổ cũ</t>
  </si>
  <si>
    <t>Tìm theo lớp, năm học và GVCN.</t>
  </si>
  <si>
    <t>BGH, Văn phòng, Người được quyền</t>
  </si>
  <si>
    <t>Nhà trường chốt quyền xem lịch sử.</t>
  </si>
  <si>
    <t>Tra cứu đúng và không sửa sổ đã khóa.</t>
  </si>
  <si>
    <t>HOM-015</t>
  </si>
  <si>
    <t>Xuất sổ</t>
  </si>
  <si>
    <t>Xuất PDF toàn bộ sổ</t>
  </si>
  <si>
    <t>Tạo PDF đúng khổ giấy, số trang, lớp và năm học.</t>
  </si>
  <si>
    <t>GVCN, BGH, Văn phòng</t>
  </si>
  <si>
    <t>HOM-001 đến HOM-014</t>
  </si>
  <si>
    <t>Sinh PDF ổn định, không phụ thuộc trình duyệt.</t>
  </si>
  <si>
    <t>Không cắt chữ, lệch cột; in đen trắng đọc được.</t>
  </si>
  <si>
    <t>HOM-016</t>
  </si>
  <si>
    <t>Xuất Excel bảng dữ liệu</t>
  </si>
  <si>
    <t>Xuất bảng chuyên cần và tổng hợp.</t>
  </si>
  <si>
    <t>HOM-004, HOM-009</t>
  </si>
  <si>
    <t>Không thay thế PDF nếu hồ sơ kiểm định yêu cầu mẫu cố định.</t>
  </si>
  <si>
    <t>File có tiêu đề, lớp, năm học và số liệu đúng.</t>
  </si>
  <si>
    <t>HOM-017</t>
  </si>
  <si>
    <t>Khảo sát chữ ký Viettel</t>
  </si>
  <si>
    <t>Xác định loại chữ ký, API, chi phí, hợp đồng và môi trường test.</t>
  </si>
  <si>
    <t>PO, Technical Lead, Viettel, Nhà trường</t>
  </si>
  <si>
    <t>Thông tin Viettel</t>
  </si>
  <si>
    <t>Không cam kết MVP trước khảo sát kỹ thuật và thương mại.</t>
  </si>
  <si>
    <t>Có kết luận khả thi, chi phí, rủi ro và quyết định.</t>
  </si>
  <si>
    <t>HOM-018</t>
  </si>
  <si>
    <t>Ký PDF và lưu file</t>
  </si>
  <si>
    <t>Gửi PDF sang Viettel và lưu bản đã ký.</t>
  </si>
  <si>
    <t>Web, Dịch vụ ngoài</t>
  </si>
  <si>
    <t>HOM-015, HOM-017</t>
  </si>
  <si>
    <t>File đã ký không sửa; sửa phải tạo bản mới và ký lại.</t>
  </si>
  <si>
    <t>Chữ ký kiểm chứng được; phiên bản rõ.</t>
  </si>
  <si>
    <t>HOM-019</t>
  </si>
  <si>
    <t>Tính lại chuyên cần</t>
  </si>
  <si>
    <t>Test sửa điểm danh cập nhật tuần, tháng và file xuất.</t>
  </si>
  <si>
    <t>QA, PO, Giám thị, GVCN</t>
  </si>
  <si>
    <t>ATT-010, HOM-004, HOM-009</t>
  </si>
  <si>
    <t>Ưu tiên tính từ nguồn thay vì số tổng lưu cứng.</t>
  </si>
  <si>
    <t>Sửa một nguồn cập nhật đúng mọi tổng hợp.</t>
  </si>
  <si>
    <t>HOM-020</t>
  </si>
  <si>
    <t>UAT mẫu sổ và file in</t>
  </si>
  <si>
    <t>In thử sổ có dữ liệu dài và nhiều trường hợp vắng.</t>
  </si>
  <si>
    <t>Thầy Vương, Thầy Tuấn, GVCN, PO, QA</t>
  </si>
  <si>
    <t>Web, PDF</t>
  </si>
  <si>
    <t>Phải kiểm tra trên máy in thực tế.</t>
  </si>
  <si>
    <t>Mẫu được xác nhận; không có lỗi bố cục nghiêm trọng.</t>
  </si>
  <si>
    <t>EVA-001</t>
  </si>
  <si>
    <t>Danh mục lỗi</t>
  </si>
  <si>
    <t>Tạo nhóm lỗi</t>
  </si>
  <si>
    <t>Quản lý nhóm lỗi như deadline, chuyên môn, hành chính, quy trình.</t>
  </si>
  <si>
    <t>Danh mục trường xác nhận</t>
  </si>
  <si>
    <t>VSC không tự quyết định nhóm hoặc mức độ vi phạm.</t>
  </si>
  <si>
    <t>Nhóm lỗi tạo, sửa và ngừng sử dụng được.</t>
  </si>
  <si>
    <t>EVA-002</t>
  </si>
  <si>
    <t>Tạo loại lỗi</t>
  </si>
  <si>
    <t>Tạo lỗi cụ thể, mô tả, nhóm và mức độ nếu có.</t>
  </si>
  <si>
    <t>Nhà trường chốt mức độ và ý nghĩa.</t>
  </si>
  <si>
    <t>Loại lỗi dùng được trong ghi nhận.</t>
  </si>
  <si>
    <t>EVA-003</t>
  </si>
  <si>
    <t>Ngừng sử dụng loại lỗi</t>
  </si>
  <si>
    <t>Ẩn khỏi lựa chọn mới nhưng giữ lịch sử.</t>
  </si>
  <si>
    <t>Không xóa loại đã được dùng.</t>
  </si>
  <si>
    <t>Bản ghi cũ còn đúng tên.</t>
  </si>
  <si>
    <t>EVA-004</t>
  </si>
  <si>
    <t>Ghi nhận lỗi</t>
  </si>
  <si>
    <t>Tạo ghi nhận lỗi</t>
  </si>
  <si>
    <t>Chọn nhân sự, loại lỗi, ngày, mô tả và nguồn.</t>
  </si>
  <si>
    <t>BGH, Văn phòng, Tổ trưởng, Người kiểm tra</t>
  </si>
  <si>
    <t>EVA-002, SYS-009</t>
  </si>
  <si>
    <t>Tổ trưởng chỉ trong tổ; chốt người bị ghi nhận có được xem.</t>
  </si>
  <si>
    <t>Lưu đủ người, loại, ngày, mô tả, nguồn và người tạo.</t>
  </si>
  <si>
    <t>EVA-005</t>
  </si>
  <si>
    <t>Minh chứng ảnh hoặc file</t>
  </si>
  <si>
    <t>Chụp ảnh, chọn ảnh hoặc tải scan.</t>
  </si>
  <si>
    <t>Người ghi nhận</t>
  </si>
  <si>
    <t>SYS-027, EVA-004</t>
  </si>
  <si>
    <t>Đảm bảo đọc được nhưng kiểm soát dung lượng.</t>
  </si>
  <si>
    <t>Minh chứng đúng quyền; có metadata.</t>
  </si>
  <si>
    <t>EVA-006</t>
  </si>
  <si>
    <t>Liên kết với task</t>
  </si>
  <si>
    <t>Gắn lỗi với công việc, deadline hoặc kết quả liên quan.</t>
  </si>
  <si>
    <t>TASK-033, EVA-004</t>
  </si>
  <si>
    <t>Tránh tạo trùng khi hệ thống đã tự ghi dữ liệu.</t>
  </si>
  <si>
    <t>Điều hướng hai chiều giữa lỗi và task.</t>
  </si>
  <si>
    <t>EVA-007</t>
  </si>
  <si>
    <t>Lưu nháp và xác nhận</t>
  </si>
  <si>
    <t>Chuẩn bị dữ liệu trước khi đưa chính thức vào hồ sơ.</t>
  </si>
  <si>
    <t>Chỉ bản xác nhận mới vào báo cáo chính thức.</t>
  </si>
  <si>
    <t>Nháp riêng tư; xác nhận có thời điểm.</t>
  </si>
  <si>
    <t>EVA-008</t>
  </si>
  <si>
    <t>Hủy ghi nhận</t>
  </si>
  <si>
    <t>Hủy bản ghi sai và lưu lý do.</t>
  </si>
  <si>
    <t>Không xóa bản đã xác nhận.</t>
  </si>
  <si>
    <t>Bản hủy không tính báo cáo nhưng còn tra cứu.</t>
  </si>
  <si>
    <t>EVA-009</t>
  </si>
  <si>
    <t>Thử nghiệm</t>
  </si>
  <si>
    <t>Gắn nhãn thử nghiệm</t>
  </si>
  <si>
    <t>Đánh dấu dữ liệu phát sinh trong giai đoạn thử nghiệm.</t>
  </si>
  <si>
    <t>Hệ thống, BGH</t>
  </si>
  <si>
    <t>Không dùng để đánh giá chính thức.</t>
  </si>
  <si>
    <t>Nhãn rõ và báo cáo loại trừ đúng.</t>
  </si>
  <si>
    <t>EVA-010</t>
  </si>
  <si>
    <t>Hồ sơ hoạt động</t>
  </si>
  <si>
    <t>Tổng quan nhân sự</t>
  </si>
  <si>
    <t>Hiển thị task, deadline, phần trăm, số lần sửa, lỗi và file đánh giá.</t>
  </si>
  <si>
    <t>SYS-009, TASK-033, EVA-004</t>
  </si>
  <si>
    <t>Dữ liệu nhạy cảm; giới hạn theo quyền.</t>
  </si>
  <si>
    <t>Chỉ số khớp danh sách nguồn.</t>
  </si>
  <si>
    <t>EVA-011</t>
  </si>
  <si>
    <t>Lịch sử công việc</t>
  </si>
  <si>
    <t>Liệt kê task đúng hạn, trễ, không hoàn thành và phần trăm.</t>
  </si>
  <si>
    <t>Người quản lý, Giáo viên nếu được phép</t>
  </si>
  <si>
    <t>Chốt giáo viên có được tự xem hay không.</t>
  </si>
  <si>
    <t>Danh sách khớp task và chỉ đọc.</t>
  </si>
  <si>
    <t>EVA-012</t>
  </si>
  <si>
    <t>Lịch sử lỗi và minh chứng</t>
  </si>
  <si>
    <t>Xem lỗi theo loại, ngày, trạng thái và file.</t>
  </si>
  <si>
    <t>EVA-004 đến EVA-009</t>
  </si>
  <si>
    <t>Chốt quy trình phản hồi hoặc khiếu nại.</t>
  </si>
  <si>
    <t>Không hiển thị ngoài phạm vi.</t>
  </si>
  <si>
    <t>EVA-013</t>
  </si>
  <si>
    <t>Kỳ đánh giá</t>
  </si>
  <si>
    <t>Kỳ theo quý</t>
  </si>
  <si>
    <t>Tạo quý, năm, thời gian và trạng thái.</t>
  </si>
  <si>
    <t>Theo Nghị quyết 27 nhưng không tự chấm.</t>
  </si>
  <si>
    <t>Kỳ dùng được khi lọc và upload.</t>
  </si>
  <si>
    <t>EVA-014</t>
  </si>
  <si>
    <t>Kỳ đánh giá viên chức</t>
  </si>
  <si>
    <t>Tạo kỳ cuối năm học theo thời gian cấu hình.</t>
  </si>
  <si>
    <t>Không hardcode tháng 9 đến tháng 5.</t>
  </si>
  <si>
    <t>Kỳ gắn đúng năm học và khoảng thời gian.</t>
  </si>
  <si>
    <t>EVA-015</t>
  </si>
  <si>
    <t>Kỳ công tác bán trú</t>
  </si>
  <si>
    <t>Tạo kỳ theo học kỳ cho đối tượng liên quan.</t>
  </si>
  <si>
    <t>Phạm vi đối tượng theo cấu hình.</t>
  </si>
  <si>
    <t>Kỳ dùng được khi upload file.</t>
  </si>
  <si>
    <t>EVA-016</t>
  </si>
  <si>
    <t>Mở và đóng kỳ</t>
  </si>
  <si>
    <t>Kiểm soát thời gian nhập file và tổng hợp.</t>
  </si>
  <si>
    <t>EVA-013 đến EVA-015</t>
  </si>
  <si>
    <t>Mở lại kỳ phải ghi lý do.</t>
  </si>
  <si>
    <t>Kỳ đóng không nhận upload mới.</t>
  </si>
  <si>
    <t>EVA-017</t>
  </si>
  <si>
    <t>Kết quả offline</t>
  </si>
  <si>
    <t>Upload kết quả cá nhân</t>
  </si>
  <si>
    <t>Lưu file kết quả đã thực hiện ngoài hệ thống.</t>
  </si>
  <si>
    <t>Tổ trưởng, Tổ phó được quyền, Văn phòng, BGH</t>
  </si>
  <si>
    <t>EVA-016, SYS-027</t>
  </si>
  <si>
    <t>Không tự chấm hoặc xếp loại.</t>
  </si>
  <si>
    <t>File gắn đúng người, kỳ, người tải và thời gian.</t>
  </si>
  <si>
    <t>EVA-018</t>
  </si>
  <si>
    <t>Upload tổng hợp của tổ</t>
  </si>
  <si>
    <t>Lưu file tổng hợp cho tổ và kỳ.</t>
  </si>
  <si>
    <t>Tổ trưởng, Tổ phó được quyền</t>
  </si>
  <si>
    <t>Chốt một file theo tổ hay từng người.</t>
  </si>
  <si>
    <t>File gắn đúng tổ và kỳ.</t>
  </si>
  <si>
    <t>EVA-019</t>
  </si>
  <si>
    <t>Phiên bản file đánh giá</t>
  </si>
  <si>
    <t>Thay file mới nhưng giữ file cũ và lý do.</t>
  </si>
  <si>
    <t>Tổ trưởng, Văn phòng, BGH</t>
  </si>
  <si>
    <t>EVA-017, EVA-018</t>
  </si>
  <si>
    <t>Không ghi đè file trong kỳ đã đóng.</t>
  </si>
  <si>
    <t>Xem và tải được từng phiên bản.</t>
  </si>
  <si>
    <t>EVA-020</t>
  </si>
  <si>
    <t>Báo cáo cá nhân</t>
  </si>
  <si>
    <t>Tổng hợp task, đúng hạn, phần trăm, số lần sửa và lỗi.</t>
  </si>
  <si>
    <t>Chỉ hỗ trợ quyết định, không kết luận đạt hoặc không đạt.</t>
  </si>
  <si>
    <t>Chỉ số khớp nguồn và lọc theo kỳ.</t>
  </si>
  <si>
    <t>EVA-021</t>
  </si>
  <si>
    <t>Báo cáo theo tổ</t>
  </si>
  <si>
    <t>Tổng hợp tiến độ, trễ hạn, lỗi và hồ sơ thiếu.</t>
  </si>
  <si>
    <t>Tổ trưởng chỉ xem tổ mình.</t>
  </si>
  <si>
    <t>Số tổng khớp danh sách.</t>
  </si>
  <si>
    <t>EVA-022</t>
  </si>
  <si>
    <t>Báo cáo toàn trường</t>
  </si>
  <si>
    <t>Tổng hợp theo tổ, kỳ, loại lỗi và trạng thái file.</t>
  </si>
  <si>
    <t>Không tự động xếp loại nhân sự.</t>
  </si>
  <si>
    <t>Có drill down đến nguồn.</t>
  </si>
  <si>
    <t>EVA-023</t>
  </si>
  <si>
    <t>Xuất Excel hoặc PDF theo kỳ, tổ và cá nhân.</t>
  </si>
  <si>
    <t>EVA-020 đến EVA-022</t>
  </si>
  <si>
    <t>Ghi rõ là dữ liệu hỗ trợ.</t>
  </si>
  <si>
    <t>File khớp màn hình và có ngày, người xuất.</t>
  </si>
  <si>
    <t>EVA-024</t>
  </si>
  <si>
    <t>Không tự đánh giá online</t>
  </si>
  <si>
    <t>Giữ tự đánh giá và phê duyệt ở bên ngoài.</t>
  </si>
  <si>
    <t>Không tạo form tự chấm hoặc tự xếp loại.</t>
  </si>
  <si>
    <t>Backlog và UI không vượt phạm vi.</t>
  </si>
  <si>
    <t>EVA-025</t>
  </si>
  <si>
    <t>Quyền riêng tư dữ liệu</t>
  </si>
  <si>
    <t>Test quyền xem hồ sơ, minh chứng và file.</t>
  </si>
  <si>
    <t>EVA-004 đến EVA-023, SYS-026</t>
  </si>
  <si>
    <t>Bao gồm truy cập trực tiếp URL file.</t>
  </si>
  <si>
    <t>Không truy cập được dữ liệu ngoài phạm vi.</t>
  </si>
  <si>
    <t>APP-001</t>
  </si>
  <si>
    <t>Đăng nhập và duy trì phiên</t>
  </si>
  <si>
    <t>Đăng nhập, đăng xuất, đổi mật khẩu trên app.</t>
  </si>
  <si>
    <t>SYS-001 đến SYS-007</t>
  </si>
  <si>
    <t>Dùng chung API và quyền với web.</t>
  </si>
  <si>
    <t>Hành vi nhất quán; khóa tài khoản thu hồi phiên.</t>
  </si>
  <si>
    <t>APP-002</t>
  </si>
  <si>
    <t>Đăng ký thiết bị push</t>
  </si>
  <si>
    <t>Liên kết token thiết bị với tài khoản.</t>
  </si>
  <si>
    <t>Xử lý nhiều thiết bị và token đổi.</t>
  </si>
  <si>
    <t>Token cập nhật; đăng xuất ngừng push.</t>
  </si>
  <si>
    <t>APP-003</t>
  </si>
  <si>
    <t>Danh sách thông báo</t>
  </si>
  <si>
    <t>Hiển thị chưa đọc, đã đọc và mở tác vụ.</t>
  </si>
  <si>
    <t>SYS-031 đến SYS-035</t>
  </si>
  <si>
    <t>Đồng bộ trạng thái đọc với web.</t>
  </si>
  <si>
    <t>Đọc trên một nền tảng cập nhật nền tảng khác.</t>
  </si>
  <si>
    <t>APP-004</t>
  </si>
  <si>
    <t>Lịch cá nhân</t>
  </si>
  <si>
    <t>Xem lịch hôm nay và tuần</t>
  </si>
  <si>
    <t>Hiển thị lịch mới và lịch đã cập nhật.</t>
  </si>
  <si>
    <t>CAL-001, CAL-014, CAL-015</t>
  </si>
  <si>
    <t>Ưu tiên tra cứu nhanh, không đưa quản trị phức tạp.</t>
  </si>
  <si>
    <t>Dữ liệu khớp web và mở được file.</t>
  </si>
  <si>
    <t>APP-005</t>
  </si>
  <si>
    <t>Xem task cá nhân</t>
  </si>
  <si>
    <t>Xem danh sách, deadline, trạng thái và chi tiết.</t>
  </si>
  <si>
    <t>TASK-009, TASK-012</t>
  </si>
  <si>
    <t>Ưu tiên hành động cần làm.</t>
  </si>
  <si>
    <t>Dữ liệu và quyền khớp web.</t>
  </si>
  <si>
    <t>APP-006</t>
  </si>
  <si>
    <t>Nộp file và ảnh</t>
  </si>
  <si>
    <t>Chọn file, chụp ảnh và gửi kết quả.</t>
  </si>
  <si>
    <t>TASK-015, TASK-016, SYS-027</t>
  </si>
  <si>
    <t>Hiển thị tiến trình; xử lý mạng không ổn định; chống gửi trùng.</t>
  </si>
  <si>
    <t>Một lần thao tác chỉ tạo một lần nộp.</t>
  </si>
  <si>
    <t>APP-007</t>
  </si>
  <si>
    <t>Nộp lại kết quả</t>
  </si>
  <si>
    <t>Xem yêu cầu, deadline mới và gửi phiên bản mới.</t>
  </si>
  <si>
    <t>TASK-023 đến TASK-026</t>
  </si>
  <si>
    <t>Hiển thị rõ lần sửa thứ nhất hoặc thứ hai.</t>
  </si>
  <si>
    <t>Phiên bản đúng lượt và giữ lịch sử.</t>
  </si>
  <si>
    <t>APP-008</t>
  </si>
  <si>
    <t>Đánh giá</t>
  </si>
  <si>
    <t>Chụp minh chứng vi phạm</t>
  </si>
  <si>
    <t>Chọn người, loại lỗi, chụp ảnh và gửi ghi nhận.</t>
  </si>
  <si>
    <t>Người có quyền</t>
  </si>
  <si>
    <t>EVA-004, EVA-005</t>
  </si>
  <si>
    <t>Có thể ẩn trong giai đoạn thử nghiệm.</t>
  </si>
  <si>
    <t>Dữ liệu gắn đúng người, loại, thời gian.</t>
  </si>
  <si>
    <t>APP-009</t>
  </si>
  <si>
    <t>Phát hành</t>
  </si>
  <si>
    <t>Tài khoản Apple và Google</t>
  </si>
  <si>
    <t>Chuẩn bị tài khoản, giấy tờ, chứng thư và quyền truy cập.</t>
  </si>
  <si>
    <t>PO, VSC, Nhà trường</t>
  </si>
  <si>
    <t>Tài liệu, Store</t>
  </si>
  <si>
    <t>Chi phí duyệt app 15 triệu</t>
  </si>
  <si>
    <t>Chốt chủ sở hữu tài khoản và trách nhiệm duy trì.</t>
  </si>
  <si>
    <t>Đủ tài khoản và điều kiện ký ứng dụng.</t>
  </si>
  <si>
    <t>APP-010</t>
  </si>
  <si>
    <t>Đăng tải Android</t>
  </si>
  <si>
    <t>Build và gửi Google Play.</t>
  </si>
  <si>
    <t>Mobile Dev, PO</t>
  </si>
  <si>
    <t>Android</t>
  </si>
  <si>
    <t>Theo chính sách store tại thời điểm gửi.</t>
  </si>
  <si>
    <t>Được phê duyệt hoặc có yêu cầu xử lý rõ.</t>
  </si>
  <si>
    <t>APP-011</t>
  </si>
  <si>
    <t>Đăng tải iOS</t>
  </si>
  <si>
    <t>Build và gửi App Store.</t>
  </si>
  <si>
    <t>iOS</t>
  </si>
  <si>
    <t>Khai báo quyền riêng tư và dữ liệu chính xác.</t>
  </si>
  <si>
    <t>APP-012</t>
  </si>
  <si>
    <t>Push và deep link</t>
  </si>
  <si>
    <t>Test khi app mở, đóng, nền và nhiều thiết bị.</t>
  </si>
  <si>
    <t>QA, Mobile Dev, PO</t>
  </si>
  <si>
    <t>APP-002 đến APP-007</t>
  </si>
  <si>
    <t>Bao gồm token hết hạn, đăng xuất, mất quyền.</t>
  </si>
  <si>
    <t>Không gửi nhầm; mở đúng màn hình.</t>
  </si>
  <si>
    <t>NFR-001</t>
  </si>
  <si>
    <t>Bảo mật</t>
  </si>
  <si>
    <t>Bảo vệ API theo quyền</t>
  </si>
  <si>
    <t>Xác thực tài khoản, hành động và phạm vi dữ liệu.</t>
  </si>
  <si>
    <t>Backend, QA</t>
  </si>
  <si>
    <t>Xuyên suốt</t>
  </si>
  <si>
    <t>Đặc biệt kiểm tra file và dữ liệu đánh giá.</t>
  </si>
  <si>
    <t>API trái quyền bị từ chối.</t>
  </si>
  <si>
    <t>NFR-002</t>
  </si>
  <si>
    <t>Mã hóa và secret</t>
  </si>
  <si>
    <t>Băm mật khẩu và quản lý khóa, token, biến môi trường.</t>
  </si>
  <si>
    <t>Backend, DevOps</t>
  </si>
  <si>
    <t>Backend, Hạ tầng</t>
  </si>
  <si>
    <t>Không commit secret hoặc ghi vào log.</t>
  </si>
  <si>
    <t>Secret được quản lý an toàn.</t>
  </si>
  <si>
    <t>NFR-003</t>
  </si>
  <si>
    <t>Hiệu năng</t>
  </si>
  <si>
    <t>Phân trang danh sách</t>
  </si>
  <si>
    <t>Phân trang lịch, task, văn bản, nhân sự, audit.</t>
  </si>
  <si>
    <t>Backend, Frontend</t>
  </si>
  <si>
    <t>Không tải toàn bộ dữ liệu nhiều năm.</t>
  </si>
  <si>
    <t>Danh sách lớn vẫn phản hồi ổn định.</t>
  </si>
  <si>
    <t>NFR-004</t>
  </si>
  <si>
    <t>Upload file lớn</t>
  </si>
  <si>
    <t>Hiển thị tiến trình và xử lý retry.</t>
  </si>
  <si>
    <t>Frontend, Mobile, Backend</t>
  </si>
  <si>
    <t>Không tạo file mồ côi hoặc bản ghi dở.</t>
  </si>
  <si>
    <t>Retry không tạo dữ liệu trùng.</t>
  </si>
  <si>
    <t>NFR-005</t>
  </si>
  <si>
    <t>Sao lưu</t>
  </si>
  <si>
    <t>Backup database</t>
  </si>
  <si>
    <t>Sao lưu định kỳ và giữ bản sao theo chính sách.</t>
  </si>
  <si>
    <t>DevOps, VSC</t>
  </si>
  <si>
    <t>Chốt tần suất, retention và người phụ trách.</t>
  </si>
  <si>
    <t>Có báo cáo backup thành công hoặc lỗi.</t>
  </si>
  <si>
    <t>NFR-006</t>
  </si>
  <si>
    <t>Backup file</t>
  </si>
  <si>
    <t>Sao lưu công văn, minh chứng, điểm danh, sổ.</t>
  </si>
  <si>
    <t>Backup database mà thiếu file là không đủ.</t>
  </si>
  <si>
    <t>Khôi phục được file và liên kết metadata.</t>
  </si>
  <si>
    <t>NFR-007</t>
  </si>
  <si>
    <t>Kiểm thử phục hồi</t>
  </si>
  <si>
    <t>Thử restore database và file.</t>
  </si>
  <si>
    <t>DevOps, QA, VSC</t>
  </si>
  <si>
    <t>NFR-005, NFR-006</t>
  </si>
  <si>
    <t>Phải chứng minh restore hoạt động.</t>
  </si>
  <si>
    <t>Có biên bản và thời gian phục hồi.</t>
  </si>
  <si>
    <t>NFR-008</t>
  </si>
  <si>
    <t>Giám sát</t>
  </si>
  <si>
    <t>Theo dõi lỗi và uptime</t>
  </si>
  <si>
    <t>Ghi log, cảnh báo sự cố và theo dõi dịch vụ.</t>
  </si>
  <si>
    <t>Chốt kênh cảnh báo và quy trình phản hồi.</t>
  </si>
  <si>
    <t>Sự cố quan trọng tạo cảnh báo.</t>
  </si>
  <si>
    <t>NFR-009</t>
  </si>
  <si>
    <t>Khả dụng</t>
  </si>
  <si>
    <t>Responsive web</t>
  </si>
  <si>
    <t>Tối ưu máy tính và máy tính bảng của trường.</t>
  </si>
  <si>
    <t>Frontend, QA</t>
  </si>
  <si>
    <t>Thiết kế UI</t>
  </si>
  <si>
    <t>Ưu tiên thao tác thường dùng, tránh nhập lại.</t>
  </si>
  <si>
    <t>Màn hình chính không vỡ bố cục.</t>
  </si>
  <si>
    <t>NFR-010</t>
  </si>
  <si>
    <t>Thông báo lỗi rõ</t>
  </si>
  <si>
    <t>Chỉ rõ trường, dòng hoặc hành động cần sửa.</t>
  </si>
  <si>
    <t>Frontend, Backend, QA</t>
  </si>
  <si>
    <t>Tránh thông báo chung chung.</t>
  </si>
  <si>
    <t>Người dùng biết cách xử lý và không mất dữ liệu.</t>
  </si>
  <si>
    <t>NFR-011</t>
  </si>
  <si>
    <t>Chính sách lưu trữ</t>
  </si>
  <si>
    <t>Chốt thời gian lưu văn bản, file, audit, điểm danh, đánh giá.</t>
  </si>
  <si>
    <t>PO, BGH, VSC, DevOps</t>
  </si>
  <si>
    <t>Quy định trường</t>
  </si>
  <si>
    <t>Cân đối kiểm định, riêng tư và chi phí.</t>
  </si>
  <si>
    <t>Có chính sách được xác nhận.</t>
  </si>
  <si>
    <t>NFR-012</t>
  </si>
  <si>
    <t>Xuất dữ liệu khi kết thúc dịch vụ</t>
  </si>
  <si>
    <t>Bàn giao dữ liệu và file theo định dạng thống nhất.</t>
  </si>
  <si>
    <t>Trước nghiệm thu</t>
  </si>
  <si>
    <t>Nên ghi trong hợp đồng và kế hoạch bàn giao.</t>
  </si>
  <si>
    <t>Có phương án export và tài liệu mapping.</t>
  </si>
  <si>
    <t>OPS-001</t>
  </si>
  <si>
    <t>Baseline 4 nhóm tính năng</t>
  </si>
  <si>
    <t>Chốt in scope, out of scope và change request.</t>
  </si>
  <si>
    <t>PO, Nhà trường, VSC</t>
  </si>
  <si>
    <t>Trước phát triển</t>
  </si>
  <si>
    <t>Biên bản họp</t>
  </si>
  <si>
    <t>Mọi phát sinh phải đánh giá tiến độ, chi phí, ưu tiên.</t>
  </si>
  <si>
    <t>Có tài liệu phạm vi hai bên xác nhận.</t>
  </si>
  <si>
    <t>OPS-002</t>
  </si>
  <si>
    <t>Tài chính</t>
  </si>
  <si>
    <t>Thanh toán 40, 40, 20</t>
  </si>
  <si>
    <t>Theo dõi ba đợt theo mốc hợp đồng.</t>
  </si>
  <si>
    <t>PM, Kế toán VSC, Nhà trường</t>
  </si>
  <si>
    <t>Hợp đồng</t>
  </si>
  <si>
    <t>Gắn với deliverable và biên bản cụ thể.</t>
  </si>
  <si>
    <t>Mỗi đợt có điều kiện, hóa đơn và trạng thái.</t>
  </si>
  <si>
    <t>OPS-003</t>
  </si>
  <si>
    <t>Thanh toán server hằng tháng</t>
  </si>
  <si>
    <t>Theo dõi chi phí VSC thanh toán thay.</t>
  </si>
  <si>
    <t>PM, DevOps, Kế toán VSC</t>
  </si>
  <si>
    <t>Hằng tháng</t>
  </si>
  <si>
    <t>Hợp đồng hạ tầng</t>
  </si>
  <si>
    <t>Nhắc trước hạn để tránh gián đoạn.</t>
  </si>
  <si>
    <t>Có lịch, người phụ trách và cảnh báo.</t>
  </si>
  <si>
    <t>OPS-004</t>
  </si>
  <si>
    <t>Kế hoạch</t>
  </si>
  <si>
    <t>Hoàn tất hai nhóm đầu</t>
  </si>
  <si>
    <t>Ưu tiên Lịch và Công việc, văn bản trong tháng 9 năm 2026.</t>
  </si>
  <si>
    <t>PM, PO, Dev, QA</t>
  </si>
  <si>
    <t>M2, M3</t>
  </si>
  <si>
    <t>Chốt phạm vi app trong mốc này.</t>
  </si>
  <si>
    <t>Có UAT trước xác nhận hoàn thành.</t>
  </si>
  <si>
    <t>OPS-005</t>
  </si>
  <si>
    <t>Hai nhóm còn lại và app</t>
  </si>
  <si>
    <t>Điểm danh, sổ, đánh giá, app trong tháng 10 đến 11 năm 2026.</t>
  </si>
  <si>
    <t>PM, PO, Dev, QA, Mobile</t>
  </si>
  <si>
    <t>M4, M5, M6</t>
  </si>
  <si>
    <t>Dành buffer cho ổn định và store review.</t>
  </si>
  <si>
    <t>Kế hoạch có thời gian test và xử lý lỗi.</t>
  </si>
  <si>
    <t>OPS-006</t>
  </si>
  <si>
    <t>Chuẩn bị dữ liệu test</t>
  </si>
  <si>
    <t>Cung cấp lịch, công văn, file camera, sổ scan, danh mục lỗi.</t>
  </si>
  <si>
    <t>Thầy Vương, Thầy Tuấn, Văn thư, Giám thị, PO</t>
  </si>
  <si>
    <t>Dữ liệu, Tài liệu</t>
  </si>
  <si>
    <t>Trước từng UAT</t>
  </si>
  <si>
    <t>Danh sách đầu vào</t>
  </si>
  <si>
    <t>Ẩn dữ liệu nhạy cảm ngoài production.</t>
  </si>
  <si>
    <t>Mỗi module có file hợp lệ, lỗi và trường hợp biên.</t>
  </si>
  <si>
    <t>OPS-007</t>
  </si>
  <si>
    <t>Thầy Vương và Thầy Tuấn kiểm thử</t>
  </si>
  <si>
    <t>Hai đầu mối kiểm thử trước triển khai rộng.</t>
  </si>
  <si>
    <t>Thầy Vương, Thầy Tuấn, PO, QA</t>
  </si>
  <si>
    <t>Sau QA</t>
  </si>
  <si>
    <t>Phản hồi theo Issue ID, mức độ và bằng chứng.</t>
  </si>
  <si>
    <t>Có danh sách pass, fail, deferred và biên bản.</t>
  </si>
  <si>
    <t>OPS-008</t>
  </si>
  <si>
    <t>Nghiệm thu</t>
  </si>
  <si>
    <t>Tiêu chí nghiệm thu Issue</t>
  </si>
  <si>
    <t>Chỉ hoàn thành khi đúng nghiệp vụ, quyền, validation, thông báo, audit, lỗi.</t>
  </si>
  <si>
    <t>PO, QA, PM, Nhà trường</t>
  </si>
  <si>
    <t>Không nghiệm thu chỉ dựa trên demo giao diện.</t>
  </si>
  <si>
    <t>Mỗi Issue có QA, UAT và bằng chứng.</t>
  </si>
  <si>
    <t>OPS-009</t>
  </si>
  <si>
    <t>Đào tạo</t>
  </si>
  <si>
    <t>Tài liệu và hướng dẫn</t>
  </si>
  <si>
    <t>Chuẩn bị hướng dẫn theo vai trò và buổi dùng thử.</t>
  </si>
  <si>
    <t>PO, BA, VSC, Nhà trường</t>
  </si>
  <si>
    <t>Tài liệu, Web, App</t>
  </si>
  <si>
    <t>Các module hoàn thành</t>
  </si>
  <si>
    <t>Bám phiên bản production.</t>
  </si>
  <si>
    <t>Đầu mối trường thao tác được.</t>
  </si>
  <si>
    <t>OPS-010</t>
  </si>
  <si>
    <t>Truyền thông</t>
  </si>
  <si>
    <t>Kế hoạch công bố</t>
  </si>
  <si>
    <t>Truyền thông sau khi hệ thống ổn định.</t>
  </si>
  <si>
    <t>Nhà trường, PO, PM</t>
  </si>
  <si>
    <t>Sau pilot</t>
  </si>
  <si>
    <t>Không công bố rộng khi còn lỗi nghiêm trọng.</t>
  </si>
  <si>
    <t>Có thông điệp, thời điểm, đối tượng và kênh.</t>
  </si>
  <si>
    <t>OPS-011</t>
  </si>
  <si>
    <t>Hỗ trợ</t>
  </si>
  <si>
    <t>Tiếp nhận lỗi sau triển khai</t>
  </si>
  <si>
    <t>Quy định kênh, mức độ, người xử lý và thời gian phản hồi.</t>
  </si>
  <si>
    <t>PM, Support, Nhà trường</t>
  </si>
  <si>
    <t>Phân biệt bug, hỗ trợ và feature request.</t>
  </si>
  <si>
    <t>Mỗi phản ánh có mã, mức độ, owner, trạng thái.</t>
  </si>
  <si>
    <t>OPS-012</t>
  </si>
  <si>
    <t>Đánh giá yêu cầu phát sinh</t>
  </si>
  <si>
    <t>Quyết định hỗ trợ trong hợp đồng hoặc chuyển giai đoạn sau.</t>
  </si>
  <si>
    <t>PO, PM, Technical Lead, Nhà trường</t>
  </si>
  <si>
    <t>Không đưa thẳng vào sprint khi chưa phân tích.</t>
  </si>
  <si>
    <t>Mỗi yêu cầu có quyết định và ảnh hưởng.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</si>
</sst>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&quot;%&quot;"/>
  </numFmts>
  <fonts count="7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0.0"/>
      <color rgb="FFFFFFFF"/>
      <name val="Carlito"/>
    </font>
    <font>
      <sz val="11.0"/>
      <color theme="1"/>
      <name val="Carlito"/>
    </font>
    <font>
      <b/>
      <sz val="11.0"/>
      <color rgb="FF1F1F1F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2">
    <border/>
    <border>
      <left style="thin">
        <color rgb="FFD9E2F3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2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shrinkToFit="0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4" fillId="0" fontId="3" numFmtId="0" xfId="0" applyAlignment="1" applyBorder="1" applyFont="1">
      <alignment shrinkToFit="0" vertical="top" wrapText="1"/>
    </xf>
    <xf borderId="4" fillId="3" fontId="5" numFmtId="0" xfId="0" applyBorder="1" applyFont="1"/>
    <xf borderId="5" fillId="0" fontId="3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6" fillId="0" fontId="3" numFmtId="0" xfId="0" applyBorder="1" applyFont="1"/>
    <xf borderId="11" fillId="0" fontId="3" numFmtId="0" xfId="0" applyAlignment="1" applyBorder="1" applyFont="1">
      <alignment shrinkToFit="0" wrapText="1"/>
    </xf>
    <xf borderId="7" fillId="3" fontId="5" numFmtId="0" xfId="0" applyBorder="1" applyFont="1"/>
    <xf borderId="8" fillId="0" fontId="3" numFmtId="0" xfId="0" applyBorder="1" applyFont="1"/>
    <xf borderId="5" fillId="0" fontId="3" numFmtId="0" xfId="0" applyAlignment="1" applyBorder="1" applyFont="1">
      <alignment readingOrder="0" shrinkToFit="0" vertical="top" wrapText="1"/>
    </xf>
    <xf borderId="5" fillId="0" fontId="3" numFmtId="164" xfId="0" applyAlignment="1" applyBorder="1" applyFont="1" applyNumberFormat="1">
      <alignment shrinkToFit="0" vertical="top" wrapText="1"/>
    </xf>
    <xf borderId="8" fillId="0" fontId="3" numFmtId="165" xfId="0" applyBorder="1" applyFont="1" applyNumberFormat="1"/>
    <xf borderId="5" fillId="0" fontId="3" numFmtId="1" xfId="0" applyAlignment="1" applyBorder="1" applyFont="1" applyNumberFormat="1">
      <alignment shrinkToFit="0" vertical="top" wrapText="1"/>
    </xf>
    <xf borderId="9" fillId="3" fontId="5" numFmtId="0" xfId="0" applyBorder="1" applyFont="1"/>
    <xf borderId="6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top" wrapText="1"/>
    </xf>
    <xf borderId="11" fillId="0" fontId="3" numFmtId="0" xfId="0" applyBorder="1" applyFont="1"/>
    <xf borderId="0" fillId="0" fontId="3" numFmtId="0" xfId="0" applyAlignment="1" applyFont="1">
      <alignment shrinkToFit="0" vertical="top" wrapText="1"/>
    </xf>
    <xf borderId="4" fillId="0" fontId="3" numFmtId="0" xfId="0" applyBorder="1" applyFont="1"/>
    <xf borderId="7" fillId="0" fontId="3" numFmtId="0" xfId="0" applyBorder="1" applyFont="1"/>
    <xf borderId="0" fillId="0" fontId="3" numFmtId="164" xfId="0" applyAlignment="1" applyFont="1" applyNumberFormat="1">
      <alignment shrinkToFit="0" vertical="top" wrapText="1"/>
    </xf>
    <xf borderId="0" fillId="0" fontId="3" numFmtId="1" xfId="0" applyAlignment="1" applyFont="1" applyNumberForma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9" fillId="0" fontId="3" numFmtId="0" xfId="0" applyBorder="1" applyFont="1"/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shrinkToFit="0" vertical="center" wrapText="1"/>
    </xf>
    <xf borderId="0" fillId="0" fontId="6" numFmtId="0" xfId="0" applyFont="1"/>
    <xf borderId="9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shrinkToFit="0" vertical="top" wrapText="1"/>
    </xf>
    <xf borderId="10" fillId="0" fontId="3" numFmtId="164" xfId="0" applyAlignment="1" applyBorder="1" applyFont="1" applyNumberFormat="1">
      <alignment shrinkToFit="0" vertical="top" wrapText="1"/>
    </xf>
    <xf borderId="10" fillId="0" fontId="3" numFmtId="1" xfId="0" applyAlignment="1" applyBorder="1" applyFont="1" applyNumberFormat="1">
      <alignment shrinkToFit="0" vertical="top" wrapText="1"/>
    </xf>
    <xf borderId="1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595959"/>
      </font>
      <fill>
        <patternFill patternType="solid">
          <fgColor rgb="FFE7E6E6"/>
          <bgColor rgb="FFE7E6E6"/>
        </patternFill>
      </fill>
      <border/>
    </dxf>
    <dxf>
      <font>
        <b/>
        <color rgb="FF7F6000"/>
      </font>
      <fill>
        <patternFill patternType="solid">
          <fgColor rgb="FFFFE699"/>
          <bgColor rgb="FFFFE699"/>
        </patternFill>
      </fill>
      <border/>
    </dxf>
    <dxf>
      <font>
        <b/>
        <color rgb="FF1F4E78"/>
      </font>
      <fill>
        <patternFill patternType="solid">
          <fgColor rgb="FFDDEBF7"/>
          <bgColor rgb="FFDDEBF7"/>
        </patternFill>
      </fill>
      <border/>
    </dxf>
    <dxf>
      <font>
        <b/>
        <color rgb="FF1F4E78"/>
      </font>
      <fill>
        <patternFill patternType="solid">
          <fgColor rgb="FFBDD7EE"/>
          <bgColor rgb="FFBDD7EE"/>
        </patternFill>
      </fill>
      <border/>
    </dxf>
    <dxf>
      <font>
        <b/>
        <color rgb="FF7030A0"/>
      </font>
      <fill>
        <patternFill patternType="solid">
          <fgColor rgb="FFE4DFEC"/>
          <bgColor rgb="FFE4DFEC"/>
        </patternFill>
      </fill>
      <border/>
    </dxf>
    <dxf>
      <font>
        <b/>
        <color rgb="FFC65911"/>
      </font>
      <fill>
        <patternFill patternType="solid">
          <fgColor rgb="FFFCE4D6"/>
          <bgColor rgb="FFFCE4D6"/>
        </patternFill>
      </fill>
      <border/>
    </dxf>
    <dxf>
      <font>
        <b/>
        <color rgb="FF9C0006"/>
      </font>
      <fill>
        <patternFill patternType="solid">
          <fgColor rgb="FFF8CBAD"/>
          <bgColor rgb="FFF8CBAD"/>
        </patternFill>
      </fill>
      <border/>
    </dxf>
    <dxf>
      <font>
        <b/>
        <color rgb="FF375623"/>
      </font>
      <fill>
        <patternFill patternType="solid">
          <fgColor rgb="FFE2F0D9"/>
          <bgColor rgb="FFE2F0D9"/>
        </patternFill>
      </fill>
      <border/>
    </dxf>
    <dxf>
      <font>
        <b/>
        <color rgb="FF375623"/>
      </font>
      <fill>
        <patternFill patternType="solid">
          <fgColor rgb="FFC6E0B4"/>
          <bgColor rgb="FFC6E0B4"/>
        </patternFill>
      </fill>
      <border/>
    </dxf>
    <dxf>
      <font>
        <b/>
        <color rgb="FF7F7F7F"/>
      </font>
      <fill>
        <patternFill patternType="solid">
          <fgColor rgb="FFD9D9D9"/>
          <bgColor rgb="FFD9D9D9"/>
        </patternFill>
      </fill>
      <border/>
    </dxf>
  </dxfs>
  <tableStyles count="2">
    <tableStyle count="4" pivot="0" name="Dau vao can ch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Phân bổ Issue theo trạng thái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Số Issue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Dashboard!$A$13:$A$25</c:f>
            </c:strRef>
          </c:cat>
          <c:val>
            <c:numRef>
              <c:f>Dashboard!$B$13:$B$25</c:f>
              <c:numCache/>
            </c:numRef>
          </c:val>
        </c:ser>
        <c:axId val="825186373"/>
        <c:axId val="1052932897"/>
      </c:barChart>
      <c:catAx>
        <c:axId val="825186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932897"/>
      </c:catAx>
      <c:valAx>
        <c:axId val="1052932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18637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11</xdr:row>
      <xdr:rowOff>0</xdr:rowOff>
    </xdr:from>
    <xdr:ext cx="10915650" cy="1400175"/>
    <xdr:graphicFrame>
      <xdr:nvGraphicFramePr>
        <xdr:cNvPr id="116069540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222" displayName="BacklogTable" name="BacklogTable" id="2">
  <tableColumns count="24">
    <tableColumn name="STT" id="1"/>
    <tableColumn name="Issue ID" id="2"/>
    <tableColumn name="Loại Issue" id="3"/>
    <tableColumn name="Epic" id="4"/>
    <tableColumn name="Module" id="5"/>
    <tableColumn name="Tên tính năng" id="6"/>
    <tableColumn name="Mô tả ngắn" id="7"/>
    <tableColumn name="Vai trò sử dụng" id="8"/>
    <tableColumn name="Nền tảng" id="9"/>
    <tableColumn name="Ưu tiên" id="10"/>
    <tableColumn name="Mốc triển khai" id="11"/>
    <tableColumn name="Phụ thuộc" id="12"/>
    <tableColumn name="Lưu ý PO và Technical" id="13"/>
    <tableColumn name="Tiêu chí hoàn thành" id="14"/>
    <tableColumn name="Trạng thái" id="15"/>
    <tableColumn name="Người phụ trách" id="16"/>
    <tableColumn name="Sprint" id="17"/>
    <tableColumn name="Story Point" id="18"/>
    <tableColumn name="Ngày bắt đầu" id="19"/>
    <tableColumn name="Hạn hoàn thành" id="20"/>
    <tableColumn name="Tiến độ %" id="21"/>
    <tableColumn name="QA" id="22"/>
    <tableColumn name="UAT" id="23"/>
    <tableColumn name="Blocker hoặc ghi chú" id="24"/>
  </tableColumns>
  <tableStyleInfo name="Backlog-style" showColumnStripes="0" showFirstColumn="1" showLastColumn="1" showRowStripes="1"/>
</table>
</file>

<file path=xl/tables/table2.xml><?xml version="1.0" encoding="utf-8"?>
<table xmlns="http://schemas.openxmlformats.org/spreadsheetml/2006/main" ref="A3:H37" displayName="InputsTable" name="InputsTable" id="1">
  <tableColumns count="8">
    <tableColumn name="ID" id="1"/>
    <tableColumn name="Nhóm" id="2"/>
    <tableColumn name="Đầu vào hoặc quyết định cần chốt" id="3"/>
    <tableColumn name="Bên cung cấp hoặc xác nhận" id="4"/>
    <tableColumn name="Cần trước mốc" id="5"/>
    <tableColumn name="Trạng thái" id="6"/>
    <tableColumn name="Ảnh hưởng nếu thiếu" id="7"/>
    <tableColumn name="Ghi chú" id="8"/>
  </tableColumns>
  <tableStyleInfo name="Dau vao can cho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18.0"/>
    <col customWidth="1" min="3" max="3" width="8.63"/>
    <col customWidth="1" min="4" max="4" width="12.0"/>
    <col customWidth="1" min="5" max="5" width="28.0"/>
    <col customWidth="1" min="6" max="6" width="24.0"/>
    <col customWidth="1" min="7" max="7" width="48.0"/>
    <col customWidth="1" min="8" max="8" width="14.0"/>
    <col customWidth="1" min="9" max="26" width="8.63"/>
  </cols>
  <sheetData>
    <row r="1" ht="30.0" customHeight="1">
      <c r="A1" s="1" t="s">
        <v>109</v>
      </c>
    </row>
    <row r="3">
      <c r="A3" s="2" t="s">
        <v>115</v>
      </c>
      <c r="B3" s="4" t="s">
        <v>118</v>
      </c>
      <c r="D3" s="20" t="s">
        <v>119</v>
      </c>
    </row>
    <row r="4">
      <c r="A4" s="22" t="s">
        <v>123</v>
      </c>
      <c r="B4" s="26">
        <f>COUNTA(Backlog!$B$2:$B$222)</f>
        <v>221</v>
      </c>
      <c r="D4" s="2" t="s">
        <v>136</v>
      </c>
      <c r="E4" s="3" t="s">
        <v>137</v>
      </c>
      <c r="F4" s="3" t="s">
        <v>140</v>
      </c>
      <c r="G4" s="4" t="s">
        <v>142</v>
      </c>
    </row>
    <row r="5">
      <c r="A5" s="28" t="s">
        <v>144</v>
      </c>
      <c r="B5" s="29">
        <f>COUNTIF(Backlog!$O$2:$O$222,"Hoàn thành")</f>
        <v>0</v>
      </c>
      <c r="D5" s="5" t="s">
        <v>149</v>
      </c>
      <c r="E5" s="6" t="s">
        <v>151</v>
      </c>
      <c r="F5" s="6" t="s">
        <v>152</v>
      </c>
      <c r="G5" s="7" t="s">
        <v>153</v>
      </c>
    </row>
    <row r="6">
      <c r="A6" s="28" t="s">
        <v>154</v>
      </c>
      <c r="B6" s="29">
        <f>COUNTIF(Backlog!$O$2:$O$222,"Đang phát triển")+COUNTIF(Backlog!$O$2:$O$222,"Review code")+COUNTIF(Backlog!$O$2:$O$222,"Đang kiểm thử")+COUNTIF(Backlog!$O$2:$O$222,"Đang UAT")</f>
        <v>0</v>
      </c>
      <c r="D6" s="8" t="s">
        <v>74</v>
      </c>
      <c r="E6" s="9" t="s">
        <v>3</v>
      </c>
      <c r="F6" s="9" t="s">
        <v>161</v>
      </c>
      <c r="G6" s="11" t="s">
        <v>162</v>
      </c>
    </row>
    <row r="7">
      <c r="A7" s="28" t="s">
        <v>163</v>
      </c>
      <c r="B7" s="29">
        <f>COUNTIF(Backlog!$O$2:$O$222,"Bị chặn")</f>
        <v>0</v>
      </c>
      <c r="D7" s="8" t="s">
        <v>164</v>
      </c>
      <c r="E7" s="9" t="s">
        <v>165</v>
      </c>
      <c r="F7" s="9" t="s">
        <v>161</v>
      </c>
      <c r="G7" s="11" t="s">
        <v>166</v>
      </c>
    </row>
    <row r="8">
      <c r="A8" s="28" t="s">
        <v>168</v>
      </c>
      <c r="B8" s="32">
        <f>AVERAGE(Backlog!$U$2:$U$222)</f>
        <v>0</v>
      </c>
      <c r="D8" s="8" t="s">
        <v>170</v>
      </c>
      <c r="E8" s="9" t="s">
        <v>171</v>
      </c>
      <c r="F8" s="9" t="s">
        <v>173</v>
      </c>
      <c r="G8" s="11" t="s">
        <v>174</v>
      </c>
    </row>
    <row r="9">
      <c r="A9" s="34" t="s">
        <v>176</v>
      </c>
      <c r="B9" s="37">
        <f>COUNTIFS(Backlog!$J$2:$J$222,"Cao nhất",Backlog!$O$2:$O$222,"&lt;&gt;Hoàn thành",Backlog!$O$2:$O$222,"&lt;&gt;Hủy")</f>
        <v>111</v>
      </c>
      <c r="D9" s="8" t="s">
        <v>181</v>
      </c>
      <c r="E9" s="9" t="s">
        <v>9</v>
      </c>
      <c r="F9" s="9" t="s">
        <v>173</v>
      </c>
      <c r="G9" s="11" t="s">
        <v>183</v>
      </c>
    </row>
    <row r="10">
      <c r="D10" s="24" t="s">
        <v>184</v>
      </c>
      <c r="E10" s="25" t="s">
        <v>185</v>
      </c>
      <c r="F10" s="25" t="s">
        <v>173</v>
      </c>
      <c r="G10" s="27" t="s">
        <v>186</v>
      </c>
    </row>
    <row r="12">
      <c r="A12" s="2" t="s">
        <v>41</v>
      </c>
      <c r="B12" s="4" t="s">
        <v>188</v>
      </c>
    </row>
    <row r="13">
      <c r="A13" s="39" t="s">
        <v>159</v>
      </c>
      <c r="B13" s="26">
        <f>COUNTIF(Backlog!$O$2:$O$222,A13)</f>
        <v>221</v>
      </c>
    </row>
    <row r="14">
      <c r="A14" s="40" t="s">
        <v>192</v>
      </c>
      <c r="B14" s="29">
        <f>COUNTIF(Backlog!$O$2:$O$222,A14)</f>
        <v>0</v>
      </c>
    </row>
    <row r="15">
      <c r="A15" s="40" t="s">
        <v>196</v>
      </c>
      <c r="B15" s="29">
        <f>COUNTIF(Backlog!$O$2:$O$222,A15)</f>
        <v>0</v>
      </c>
    </row>
    <row r="16">
      <c r="A16" s="40" t="s">
        <v>200</v>
      </c>
      <c r="B16" s="29">
        <f>COUNTIF(Backlog!$O$2:$O$222,A16)</f>
        <v>0</v>
      </c>
    </row>
    <row r="17">
      <c r="A17" s="40" t="s">
        <v>202</v>
      </c>
      <c r="B17" s="29">
        <f>COUNTIF(Backlog!$O$2:$O$222,A17)</f>
        <v>0</v>
      </c>
    </row>
    <row r="18">
      <c r="A18" s="40" t="s">
        <v>204</v>
      </c>
      <c r="B18" s="29">
        <f>COUNTIF(Backlog!$O$2:$O$222,A18)</f>
        <v>0</v>
      </c>
    </row>
    <row r="19">
      <c r="A19" s="40" t="s">
        <v>206</v>
      </c>
      <c r="B19" s="29">
        <f>COUNTIF(Backlog!$O$2:$O$222,A19)</f>
        <v>0</v>
      </c>
    </row>
    <row r="20">
      <c r="A20" s="40" t="s">
        <v>208</v>
      </c>
      <c r="B20" s="29">
        <f>COUNTIF(Backlog!$O$2:$O$222,A20)</f>
        <v>0</v>
      </c>
      <c r="D20" s="2" t="s">
        <v>63</v>
      </c>
      <c r="E20" s="4" t="s">
        <v>188</v>
      </c>
      <c r="G20" s="2" t="s">
        <v>37</v>
      </c>
      <c r="H20" s="4" t="s">
        <v>188</v>
      </c>
    </row>
    <row r="21" ht="15.75" customHeight="1">
      <c r="A21" s="40" t="s">
        <v>213</v>
      </c>
      <c r="B21" s="29">
        <f>COUNTIF(Backlog!$O$2:$O$222,A21)</f>
        <v>0</v>
      </c>
      <c r="D21" s="39" t="s">
        <v>147</v>
      </c>
      <c r="E21" s="26">
        <f>COUNTIF(Backlog!$J$2:$J$222,D21)</f>
        <v>111</v>
      </c>
      <c r="G21" s="39" t="s">
        <v>130</v>
      </c>
      <c r="H21" s="26">
        <f>COUNTIF(Backlog!$D$2:$D$222,G21)</f>
        <v>42</v>
      </c>
    </row>
    <row r="22" ht="15.75" customHeight="1">
      <c r="A22" s="40" t="s">
        <v>223</v>
      </c>
      <c r="B22" s="29">
        <f>COUNTIF(Backlog!$O$2:$O$222,A22)</f>
        <v>0</v>
      </c>
      <c r="D22" s="40" t="s">
        <v>193</v>
      </c>
      <c r="E22" s="29">
        <f>COUNTIF(Backlog!$J$2:$J$222,D22)</f>
        <v>80</v>
      </c>
      <c r="G22" s="40" t="s">
        <v>228</v>
      </c>
      <c r="H22" s="29">
        <f>COUNTIF(Backlog!$D$2:$D$222,G22)</f>
        <v>25</v>
      </c>
    </row>
    <row r="23" ht="15.75" customHeight="1">
      <c r="A23" s="40" t="s">
        <v>230</v>
      </c>
      <c r="B23" s="29">
        <f>COUNTIF(Backlog!$O$2:$O$222,A23)</f>
        <v>0</v>
      </c>
      <c r="D23" s="40" t="s">
        <v>232</v>
      </c>
      <c r="E23" s="29">
        <f>COUNTIF(Backlog!$J$2:$J$222,D23)</f>
        <v>30</v>
      </c>
      <c r="G23" s="40" t="s">
        <v>233</v>
      </c>
      <c r="H23" s="29">
        <f>COUNTIF(Backlog!$D$2:$D$222,G23)</f>
        <v>50</v>
      </c>
    </row>
    <row r="24" ht="15.75" customHeight="1">
      <c r="A24" s="40" t="s">
        <v>235</v>
      </c>
      <c r="B24" s="29">
        <f>COUNTIF(Backlog!$O$2:$O$222,A24)</f>
        <v>0</v>
      </c>
      <c r="D24" s="45" t="s">
        <v>238</v>
      </c>
      <c r="E24" s="37">
        <f>COUNTIF(Backlog!$J$2:$J$222,D24)</f>
        <v>0</v>
      </c>
      <c r="G24" s="40" t="s">
        <v>241</v>
      </c>
      <c r="H24" s="29">
        <f>COUNTIF(Backlog!$D$2:$D$222,G24)</f>
        <v>43</v>
      </c>
    </row>
    <row r="25" ht="15.75" customHeight="1">
      <c r="A25" s="45" t="s">
        <v>245</v>
      </c>
      <c r="B25" s="37">
        <f>COUNTIF(Backlog!$O$2:$O$222,A25)</f>
        <v>0</v>
      </c>
      <c r="G25" s="40" t="s">
        <v>249</v>
      </c>
      <c r="H25" s="29">
        <f>COUNTIF(Backlog!$D$2:$D$222,G25)</f>
        <v>25</v>
      </c>
    </row>
    <row r="26" ht="15.75" customHeight="1">
      <c r="G26" s="40" t="s">
        <v>252</v>
      </c>
      <c r="H26" s="29">
        <f>COUNTIF(Backlog!$D$2:$D$222,G26)</f>
        <v>12</v>
      </c>
    </row>
    <row r="27" ht="15.75" customHeight="1">
      <c r="G27" s="40" t="s">
        <v>255</v>
      </c>
      <c r="H27" s="29">
        <f>COUNTIF(Backlog!$D$2:$D$222,G27)</f>
        <v>12</v>
      </c>
    </row>
    <row r="28" ht="15.75" customHeight="1">
      <c r="G28" s="45" t="s">
        <v>258</v>
      </c>
      <c r="H28" s="37">
        <f>COUNTIF(Backlog!$D$2:$D$222,G28)</f>
        <v>12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D3:J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2.0"/>
    <col customWidth="1" min="3" max="3" width="11.0"/>
    <col customWidth="1" min="4" max="4" width="28.0"/>
    <col customWidth="1" min="5" max="5" width="22.0"/>
    <col customWidth="1" min="6" max="6" width="30.0"/>
    <col customWidth="1" min="7" max="7" width="38.0"/>
    <col customWidth="1" min="8" max="8" width="24.0"/>
    <col customWidth="1" min="9" max="9" width="18.0"/>
    <col customWidth="1" min="10" max="10" width="12.0"/>
    <col customWidth="1" min="11" max="11" width="20.0"/>
    <col customWidth="1" min="12" max="12" width="25.0"/>
    <col customWidth="1" min="13" max="13" width="42.0"/>
    <col customWidth="1" min="14" max="14" width="40.0"/>
    <col customWidth="1" min="15" max="16" width="18.0"/>
    <col customWidth="1" min="17" max="18" width="12.0"/>
    <col customWidth="1" min="19" max="20" width="14.0"/>
    <col customWidth="1" min="21" max="21" width="12.0"/>
    <col customWidth="1" min="22" max="23" width="15.0"/>
    <col customWidth="1" min="24" max="24" width="35.0"/>
    <col customWidth="1" min="25" max="26" width="8.63"/>
  </cols>
  <sheetData>
    <row r="1" ht="36.0" customHeight="1">
      <c r="A1" s="10" t="s">
        <v>13</v>
      </c>
      <c r="B1" s="12" t="s">
        <v>25</v>
      </c>
      <c r="C1" s="12" t="s">
        <v>32</v>
      </c>
      <c r="D1" s="12" t="s">
        <v>37</v>
      </c>
      <c r="E1" s="12" t="s">
        <v>42</v>
      </c>
      <c r="F1" s="12" t="s">
        <v>46</v>
      </c>
      <c r="G1" s="12" t="s">
        <v>49</v>
      </c>
      <c r="H1" s="12" t="s">
        <v>53</v>
      </c>
      <c r="I1" s="12" t="s">
        <v>58</v>
      </c>
      <c r="J1" s="12" t="s">
        <v>63</v>
      </c>
      <c r="K1" s="12" t="s">
        <v>67</v>
      </c>
      <c r="L1" s="12" t="s">
        <v>71</v>
      </c>
      <c r="M1" s="12" t="s">
        <v>76</v>
      </c>
      <c r="N1" s="12" t="s">
        <v>80</v>
      </c>
      <c r="O1" s="12" t="s">
        <v>41</v>
      </c>
      <c r="P1" s="12" t="s">
        <v>88</v>
      </c>
      <c r="Q1" s="12" t="s">
        <v>90</v>
      </c>
      <c r="R1" s="12" t="s">
        <v>93</v>
      </c>
      <c r="S1" s="12" t="s">
        <v>97</v>
      </c>
      <c r="T1" s="12" t="s">
        <v>99</v>
      </c>
      <c r="U1" s="12" t="s">
        <v>101</v>
      </c>
      <c r="V1" s="12" t="s">
        <v>104</v>
      </c>
      <c r="W1" s="12" t="s">
        <v>107</v>
      </c>
      <c r="X1" s="13" t="s">
        <v>112</v>
      </c>
    </row>
    <row r="2" ht="48.0" customHeight="1">
      <c r="A2" s="21">
        <v>1.0</v>
      </c>
      <c r="B2" s="23" t="s">
        <v>124</v>
      </c>
      <c r="C2" s="23" t="s">
        <v>129</v>
      </c>
      <c r="D2" s="23" t="s">
        <v>130</v>
      </c>
      <c r="E2" s="23" t="s">
        <v>131</v>
      </c>
      <c r="F2" s="23" t="s">
        <v>134</v>
      </c>
      <c r="G2" s="23" t="s">
        <v>138</v>
      </c>
      <c r="H2" s="23" t="s">
        <v>143</v>
      </c>
      <c r="I2" s="23" t="s">
        <v>145</v>
      </c>
      <c r="J2" s="23" t="s">
        <v>147</v>
      </c>
      <c r="K2" s="23" t="s">
        <v>150</v>
      </c>
      <c r="L2" s="23" t="s">
        <v>2</v>
      </c>
      <c r="M2" s="23" t="s">
        <v>156</v>
      </c>
      <c r="N2" s="23" t="s">
        <v>157</v>
      </c>
      <c r="O2" s="30" t="s">
        <v>159</v>
      </c>
      <c r="P2" s="23"/>
      <c r="Q2" s="23"/>
      <c r="R2" s="23"/>
      <c r="S2" s="31"/>
      <c r="T2" s="31"/>
      <c r="U2" s="33">
        <v>0.0</v>
      </c>
      <c r="V2" s="23" t="s">
        <v>175</v>
      </c>
      <c r="W2" s="23" t="s">
        <v>177</v>
      </c>
      <c r="X2" s="35"/>
    </row>
    <row r="3" ht="48.0" customHeight="1">
      <c r="A3" s="36">
        <v>2.0</v>
      </c>
      <c r="B3" s="38" t="s">
        <v>180</v>
      </c>
      <c r="C3" s="38" t="s">
        <v>129</v>
      </c>
      <c r="D3" s="38" t="s">
        <v>130</v>
      </c>
      <c r="E3" s="38" t="s">
        <v>131</v>
      </c>
      <c r="F3" s="38" t="s">
        <v>189</v>
      </c>
      <c r="G3" s="38" t="s">
        <v>190</v>
      </c>
      <c r="H3" s="38" t="s">
        <v>143</v>
      </c>
      <c r="I3" s="38" t="s">
        <v>145</v>
      </c>
      <c r="J3" s="38" t="s">
        <v>193</v>
      </c>
      <c r="K3" s="38" t="s">
        <v>150</v>
      </c>
      <c r="L3" s="38" t="s">
        <v>124</v>
      </c>
      <c r="M3" s="38" t="s">
        <v>197</v>
      </c>
      <c r="N3" s="38" t="s">
        <v>199</v>
      </c>
      <c r="O3" s="38" t="s">
        <v>159</v>
      </c>
      <c r="P3" s="38"/>
      <c r="Q3" s="38"/>
      <c r="R3" s="38"/>
      <c r="S3" s="41"/>
      <c r="T3" s="41"/>
      <c r="U3" s="42">
        <v>0.0</v>
      </c>
      <c r="V3" s="38" t="s">
        <v>175</v>
      </c>
      <c r="W3" s="38" t="s">
        <v>177</v>
      </c>
      <c r="X3" s="43"/>
    </row>
    <row r="4" ht="48.0" customHeight="1">
      <c r="A4" s="36">
        <v>3.0</v>
      </c>
      <c r="B4" s="38" t="s">
        <v>210</v>
      </c>
      <c r="C4" s="38" t="s">
        <v>129</v>
      </c>
      <c r="D4" s="38" t="s">
        <v>130</v>
      </c>
      <c r="E4" s="38" t="s">
        <v>131</v>
      </c>
      <c r="F4" s="38" t="s">
        <v>214</v>
      </c>
      <c r="G4" s="38" t="s">
        <v>215</v>
      </c>
      <c r="H4" s="38" t="s">
        <v>143</v>
      </c>
      <c r="I4" s="38" t="s">
        <v>145</v>
      </c>
      <c r="J4" s="38" t="s">
        <v>193</v>
      </c>
      <c r="K4" s="38" t="s">
        <v>150</v>
      </c>
      <c r="L4" s="38" t="s">
        <v>124</v>
      </c>
      <c r="M4" s="38" t="s">
        <v>224</v>
      </c>
      <c r="N4" s="38" t="s">
        <v>226</v>
      </c>
      <c r="O4" s="44" t="s">
        <v>159</v>
      </c>
      <c r="P4" s="38"/>
      <c r="Q4" s="38"/>
      <c r="R4" s="38"/>
      <c r="S4" s="41"/>
      <c r="T4" s="41"/>
      <c r="U4" s="42">
        <v>0.0</v>
      </c>
      <c r="V4" s="38" t="s">
        <v>175</v>
      </c>
      <c r="W4" s="38" t="s">
        <v>177</v>
      </c>
      <c r="X4" s="43"/>
    </row>
    <row r="5" ht="48.0" customHeight="1">
      <c r="A5" s="36">
        <v>4.0</v>
      </c>
      <c r="B5" s="38" t="s">
        <v>237</v>
      </c>
      <c r="C5" s="38" t="s">
        <v>129</v>
      </c>
      <c r="D5" s="38" t="s">
        <v>130</v>
      </c>
      <c r="E5" s="38" t="s">
        <v>131</v>
      </c>
      <c r="F5" s="38" t="s">
        <v>242</v>
      </c>
      <c r="G5" s="38" t="s">
        <v>244</v>
      </c>
      <c r="H5" s="38" t="s">
        <v>246</v>
      </c>
      <c r="I5" s="38" t="s">
        <v>248</v>
      </c>
      <c r="J5" s="38" t="s">
        <v>232</v>
      </c>
      <c r="K5" s="38" t="s">
        <v>150</v>
      </c>
      <c r="L5" s="38" t="s">
        <v>253</v>
      </c>
      <c r="M5" s="38" t="s">
        <v>254</v>
      </c>
      <c r="N5" s="38" t="s">
        <v>256</v>
      </c>
      <c r="O5" s="38" t="s">
        <v>159</v>
      </c>
      <c r="P5" s="38"/>
      <c r="Q5" s="38"/>
      <c r="R5" s="38"/>
      <c r="S5" s="41"/>
      <c r="T5" s="41"/>
      <c r="U5" s="42">
        <v>0.0</v>
      </c>
      <c r="V5" s="38" t="s">
        <v>175</v>
      </c>
      <c r="W5" s="38" t="s">
        <v>177</v>
      </c>
      <c r="X5" s="43"/>
    </row>
    <row r="6" ht="48.0" customHeight="1">
      <c r="A6" s="36">
        <v>5.0</v>
      </c>
      <c r="B6" s="38" t="s">
        <v>266</v>
      </c>
      <c r="C6" s="38" t="s">
        <v>129</v>
      </c>
      <c r="D6" s="38" t="s">
        <v>130</v>
      </c>
      <c r="E6" s="38" t="s">
        <v>131</v>
      </c>
      <c r="F6" s="38" t="s">
        <v>269</v>
      </c>
      <c r="G6" s="38" t="s">
        <v>271</v>
      </c>
      <c r="H6" s="38" t="s">
        <v>143</v>
      </c>
      <c r="I6" s="38" t="s">
        <v>145</v>
      </c>
      <c r="J6" s="38" t="s">
        <v>193</v>
      </c>
      <c r="K6" s="38" t="s">
        <v>150</v>
      </c>
      <c r="L6" s="38" t="s">
        <v>124</v>
      </c>
      <c r="M6" s="38" t="s">
        <v>275</v>
      </c>
      <c r="N6" s="38" t="s">
        <v>277</v>
      </c>
      <c r="O6" s="38" t="s">
        <v>159</v>
      </c>
      <c r="P6" s="38"/>
      <c r="Q6" s="38"/>
      <c r="R6" s="38"/>
      <c r="S6" s="41"/>
      <c r="T6" s="41"/>
      <c r="U6" s="42">
        <v>0.0</v>
      </c>
      <c r="V6" s="38" t="s">
        <v>175</v>
      </c>
      <c r="W6" s="38" t="s">
        <v>177</v>
      </c>
      <c r="X6" s="43"/>
    </row>
    <row r="7" ht="48.0" customHeight="1">
      <c r="A7" s="36">
        <v>6.0</v>
      </c>
      <c r="B7" s="38" t="s">
        <v>284</v>
      </c>
      <c r="C7" s="38" t="s">
        <v>129</v>
      </c>
      <c r="D7" s="38" t="s">
        <v>130</v>
      </c>
      <c r="E7" s="38" t="s">
        <v>131</v>
      </c>
      <c r="F7" s="38" t="s">
        <v>287</v>
      </c>
      <c r="G7" s="38" t="s">
        <v>289</v>
      </c>
      <c r="H7" s="38" t="s">
        <v>19</v>
      </c>
      <c r="I7" s="38" t="s">
        <v>248</v>
      </c>
      <c r="J7" s="38" t="s">
        <v>193</v>
      </c>
      <c r="K7" s="38" t="s">
        <v>150</v>
      </c>
      <c r="L7" s="38" t="s">
        <v>124</v>
      </c>
      <c r="M7" s="38" t="s">
        <v>293</v>
      </c>
      <c r="N7" s="38" t="s">
        <v>295</v>
      </c>
      <c r="O7" s="38" t="s">
        <v>159</v>
      </c>
      <c r="P7" s="38"/>
      <c r="Q7" s="38"/>
      <c r="R7" s="38"/>
      <c r="S7" s="41"/>
      <c r="T7" s="41"/>
      <c r="U7" s="42">
        <v>0.0</v>
      </c>
      <c r="V7" s="38" t="s">
        <v>175</v>
      </c>
      <c r="W7" s="38" t="s">
        <v>177</v>
      </c>
      <c r="X7" s="43"/>
    </row>
    <row r="8" ht="48.0" customHeight="1">
      <c r="A8" s="36">
        <v>7.0</v>
      </c>
      <c r="B8" s="38" t="s">
        <v>301</v>
      </c>
      <c r="C8" s="38" t="s">
        <v>129</v>
      </c>
      <c r="D8" s="38" t="s">
        <v>130</v>
      </c>
      <c r="E8" s="38" t="s">
        <v>131</v>
      </c>
      <c r="F8" s="38" t="s">
        <v>303</v>
      </c>
      <c r="G8" s="38" t="s">
        <v>305</v>
      </c>
      <c r="H8" s="38" t="s">
        <v>246</v>
      </c>
      <c r="I8" s="38" t="s">
        <v>145</v>
      </c>
      <c r="J8" s="38" t="s">
        <v>232</v>
      </c>
      <c r="K8" s="38" t="s">
        <v>150</v>
      </c>
      <c r="L8" s="38" t="s">
        <v>124</v>
      </c>
      <c r="M8" s="38" t="s">
        <v>311</v>
      </c>
      <c r="N8" s="38" t="s">
        <v>312</v>
      </c>
      <c r="O8" s="38" t="s">
        <v>159</v>
      </c>
      <c r="P8" s="38"/>
      <c r="Q8" s="38"/>
      <c r="R8" s="38"/>
      <c r="S8" s="41"/>
      <c r="T8" s="41"/>
      <c r="U8" s="42">
        <v>0.0</v>
      </c>
      <c r="V8" s="38" t="s">
        <v>175</v>
      </c>
      <c r="W8" s="38" t="s">
        <v>177</v>
      </c>
      <c r="X8" s="43"/>
    </row>
    <row r="9" ht="48.0" customHeight="1">
      <c r="A9" s="36">
        <v>8.0</v>
      </c>
      <c r="B9" s="38" t="s">
        <v>319</v>
      </c>
      <c r="C9" s="38" t="s">
        <v>321</v>
      </c>
      <c r="D9" s="38" t="s">
        <v>130</v>
      </c>
      <c r="E9" s="38" t="s">
        <v>131</v>
      </c>
      <c r="F9" s="38" t="s">
        <v>323</v>
      </c>
      <c r="G9" s="38" t="s">
        <v>324</v>
      </c>
      <c r="H9" s="38" t="s">
        <v>325</v>
      </c>
      <c r="I9" s="38" t="s">
        <v>327</v>
      </c>
      <c r="J9" s="38" t="s">
        <v>193</v>
      </c>
      <c r="K9" s="38" t="s">
        <v>150</v>
      </c>
      <c r="L9" s="38" t="s">
        <v>124</v>
      </c>
      <c r="M9" s="38" t="s">
        <v>331</v>
      </c>
      <c r="N9" s="38" t="s">
        <v>332</v>
      </c>
      <c r="O9" s="38" t="s">
        <v>159</v>
      </c>
      <c r="P9" s="38"/>
      <c r="Q9" s="38"/>
      <c r="R9" s="38"/>
      <c r="S9" s="41"/>
      <c r="T9" s="41"/>
      <c r="U9" s="42">
        <v>0.0</v>
      </c>
      <c r="V9" s="38" t="s">
        <v>175</v>
      </c>
      <c r="W9" s="38" t="s">
        <v>177</v>
      </c>
      <c r="X9" s="43"/>
    </row>
    <row r="10" ht="48.0" customHeight="1">
      <c r="A10" s="36">
        <v>9.0</v>
      </c>
      <c r="B10" s="38" t="s">
        <v>356</v>
      </c>
      <c r="C10" s="38" t="s">
        <v>129</v>
      </c>
      <c r="D10" s="38" t="s">
        <v>130</v>
      </c>
      <c r="E10" s="38" t="s">
        <v>2</v>
      </c>
      <c r="F10" s="38" t="s">
        <v>371</v>
      </c>
      <c r="G10" s="38" t="s">
        <v>376</v>
      </c>
      <c r="H10" s="38" t="s">
        <v>380</v>
      </c>
      <c r="I10" s="38" t="s">
        <v>248</v>
      </c>
      <c r="J10" s="38" t="s">
        <v>147</v>
      </c>
      <c r="K10" s="38" t="s">
        <v>150</v>
      </c>
      <c r="L10" s="38" t="s">
        <v>62</v>
      </c>
      <c r="M10" s="38" t="s">
        <v>404</v>
      </c>
      <c r="N10" s="38" t="s">
        <v>407</v>
      </c>
      <c r="O10" s="38" t="s">
        <v>159</v>
      </c>
      <c r="P10" s="38"/>
      <c r="Q10" s="38"/>
      <c r="R10" s="38"/>
      <c r="S10" s="41"/>
      <c r="T10" s="41"/>
      <c r="U10" s="42">
        <v>0.0</v>
      </c>
      <c r="V10" s="38" t="s">
        <v>175</v>
      </c>
      <c r="W10" s="38" t="s">
        <v>177</v>
      </c>
      <c r="X10" s="43"/>
    </row>
    <row r="11" ht="48.0" customHeight="1">
      <c r="A11" s="36">
        <v>10.0</v>
      </c>
      <c r="B11" s="38" t="s">
        <v>445</v>
      </c>
      <c r="C11" s="38" t="s">
        <v>129</v>
      </c>
      <c r="D11" s="38" t="s">
        <v>130</v>
      </c>
      <c r="E11" s="38" t="s">
        <v>2</v>
      </c>
      <c r="F11" s="38" t="s">
        <v>449</v>
      </c>
      <c r="G11" s="38" t="s">
        <v>451</v>
      </c>
      <c r="H11" s="38" t="s">
        <v>380</v>
      </c>
      <c r="I11" s="38" t="s">
        <v>248</v>
      </c>
      <c r="J11" s="38" t="s">
        <v>193</v>
      </c>
      <c r="K11" s="38" t="s">
        <v>150</v>
      </c>
      <c r="L11" s="38" t="s">
        <v>356</v>
      </c>
      <c r="M11" s="38" t="s">
        <v>455</v>
      </c>
      <c r="N11" s="38" t="s">
        <v>456</v>
      </c>
      <c r="O11" s="38" t="s">
        <v>159</v>
      </c>
      <c r="P11" s="38"/>
      <c r="Q11" s="38"/>
      <c r="R11" s="38"/>
      <c r="S11" s="41"/>
      <c r="T11" s="41"/>
      <c r="U11" s="42">
        <v>0.0</v>
      </c>
      <c r="V11" s="38" t="s">
        <v>175</v>
      </c>
      <c r="W11" s="38" t="s">
        <v>177</v>
      </c>
      <c r="X11" s="43"/>
    </row>
    <row r="12" ht="48.0" customHeight="1">
      <c r="A12" s="36">
        <v>11.0</v>
      </c>
      <c r="B12" s="38" t="s">
        <v>464</v>
      </c>
      <c r="C12" s="38" t="s">
        <v>129</v>
      </c>
      <c r="D12" s="38" t="s">
        <v>130</v>
      </c>
      <c r="E12" s="38" t="s">
        <v>2</v>
      </c>
      <c r="F12" s="38" t="s">
        <v>468</v>
      </c>
      <c r="G12" s="38" t="s">
        <v>469</v>
      </c>
      <c r="H12" s="38" t="s">
        <v>472</v>
      </c>
      <c r="I12" s="38" t="s">
        <v>248</v>
      </c>
      <c r="J12" s="38" t="s">
        <v>147</v>
      </c>
      <c r="K12" s="38" t="s">
        <v>150</v>
      </c>
      <c r="L12" s="38" t="s">
        <v>477</v>
      </c>
      <c r="M12" s="38" t="s">
        <v>478</v>
      </c>
      <c r="N12" s="38" t="s">
        <v>481</v>
      </c>
      <c r="O12" s="38" t="s">
        <v>159</v>
      </c>
      <c r="P12" s="38"/>
      <c r="Q12" s="38"/>
      <c r="R12" s="38"/>
      <c r="S12" s="41"/>
      <c r="T12" s="41"/>
      <c r="U12" s="42">
        <v>0.0</v>
      </c>
      <c r="V12" s="38" t="s">
        <v>175</v>
      </c>
      <c r="W12" s="38" t="s">
        <v>177</v>
      </c>
      <c r="X12" s="43"/>
    </row>
    <row r="13" ht="48.0" customHeight="1">
      <c r="A13" s="36">
        <v>12.0</v>
      </c>
      <c r="B13" s="38" t="s">
        <v>494</v>
      </c>
      <c r="C13" s="38" t="s">
        <v>129</v>
      </c>
      <c r="D13" s="38" t="s">
        <v>130</v>
      </c>
      <c r="E13" s="38" t="s">
        <v>2</v>
      </c>
      <c r="F13" s="38" t="s">
        <v>501</v>
      </c>
      <c r="G13" s="38" t="s">
        <v>503</v>
      </c>
      <c r="H13" s="38" t="s">
        <v>504</v>
      </c>
      <c r="I13" s="38" t="s">
        <v>248</v>
      </c>
      <c r="J13" s="38" t="s">
        <v>232</v>
      </c>
      <c r="K13" s="38" t="s">
        <v>150</v>
      </c>
      <c r="L13" s="38" t="s">
        <v>356</v>
      </c>
      <c r="M13" s="38" t="s">
        <v>509</v>
      </c>
      <c r="N13" s="38" t="s">
        <v>510</v>
      </c>
      <c r="O13" s="38" t="s">
        <v>159</v>
      </c>
      <c r="P13" s="38"/>
      <c r="Q13" s="38"/>
      <c r="R13" s="38"/>
      <c r="S13" s="41"/>
      <c r="T13" s="41"/>
      <c r="U13" s="42">
        <v>0.0</v>
      </c>
      <c r="V13" s="38" t="s">
        <v>175</v>
      </c>
      <c r="W13" s="38" t="s">
        <v>177</v>
      </c>
      <c r="X13" s="43"/>
    </row>
    <row r="14" ht="48.0" customHeight="1">
      <c r="A14" s="36">
        <v>13.0</v>
      </c>
      <c r="B14" s="38" t="s">
        <v>511</v>
      </c>
      <c r="C14" s="38" t="s">
        <v>129</v>
      </c>
      <c r="D14" s="38" t="s">
        <v>130</v>
      </c>
      <c r="E14" s="38" t="s">
        <v>2</v>
      </c>
      <c r="F14" s="38" t="s">
        <v>512</v>
      </c>
      <c r="G14" s="38" t="s">
        <v>513</v>
      </c>
      <c r="H14" s="38" t="s">
        <v>514</v>
      </c>
      <c r="I14" s="38" t="s">
        <v>248</v>
      </c>
      <c r="J14" s="38" t="s">
        <v>193</v>
      </c>
      <c r="K14" s="38" t="s">
        <v>150</v>
      </c>
      <c r="L14" s="38" t="s">
        <v>356</v>
      </c>
      <c r="M14" s="38" t="s">
        <v>515</v>
      </c>
      <c r="N14" s="38" t="s">
        <v>516</v>
      </c>
      <c r="O14" s="38" t="s">
        <v>159</v>
      </c>
      <c r="P14" s="38"/>
      <c r="Q14" s="38"/>
      <c r="R14" s="38"/>
      <c r="S14" s="41"/>
      <c r="T14" s="41"/>
      <c r="U14" s="42">
        <v>0.0</v>
      </c>
      <c r="V14" s="38" t="s">
        <v>175</v>
      </c>
      <c r="W14" s="38" t="s">
        <v>177</v>
      </c>
      <c r="X14" s="43"/>
    </row>
    <row r="15" ht="48.0" customHeight="1">
      <c r="A15" s="36">
        <v>14.0</v>
      </c>
      <c r="B15" s="38" t="s">
        <v>517</v>
      </c>
      <c r="C15" s="38" t="s">
        <v>129</v>
      </c>
      <c r="D15" s="38" t="s">
        <v>130</v>
      </c>
      <c r="E15" s="38" t="s">
        <v>2</v>
      </c>
      <c r="F15" s="38" t="s">
        <v>518</v>
      </c>
      <c r="G15" s="38" t="s">
        <v>519</v>
      </c>
      <c r="H15" s="38" t="s">
        <v>380</v>
      </c>
      <c r="I15" s="38" t="s">
        <v>248</v>
      </c>
      <c r="J15" s="38" t="s">
        <v>193</v>
      </c>
      <c r="K15" s="38" t="s">
        <v>150</v>
      </c>
      <c r="L15" s="38" t="s">
        <v>356</v>
      </c>
      <c r="M15" s="38" t="s">
        <v>520</v>
      </c>
      <c r="N15" s="38" t="s">
        <v>521</v>
      </c>
      <c r="O15" s="38" t="s">
        <v>159</v>
      </c>
      <c r="P15" s="38"/>
      <c r="Q15" s="38"/>
      <c r="R15" s="38"/>
      <c r="S15" s="41"/>
      <c r="T15" s="41"/>
      <c r="U15" s="42">
        <v>0.0</v>
      </c>
      <c r="V15" s="38" t="s">
        <v>175</v>
      </c>
      <c r="W15" s="38" t="s">
        <v>177</v>
      </c>
      <c r="X15" s="43"/>
    </row>
    <row r="16" ht="48.0" customHeight="1">
      <c r="A16" s="36">
        <v>15.0</v>
      </c>
      <c r="B16" s="38" t="s">
        <v>522</v>
      </c>
      <c r="C16" s="38" t="s">
        <v>129</v>
      </c>
      <c r="D16" s="38" t="s">
        <v>130</v>
      </c>
      <c r="E16" s="38" t="s">
        <v>2</v>
      </c>
      <c r="F16" s="38" t="s">
        <v>523</v>
      </c>
      <c r="G16" s="38" t="s">
        <v>524</v>
      </c>
      <c r="H16" s="38" t="s">
        <v>19</v>
      </c>
      <c r="I16" s="38" t="s">
        <v>248</v>
      </c>
      <c r="J16" s="38" t="s">
        <v>147</v>
      </c>
      <c r="K16" s="38" t="s">
        <v>150</v>
      </c>
      <c r="L16" s="38" t="s">
        <v>525</v>
      </c>
      <c r="M16" s="38" t="s">
        <v>526</v>
      </c>
      <c r="N16" s="38" t="s">
        <v>527</v>
      </c>
      <c r="O16" s="38" t="s">
        <v>159</v>
      </c>
      <c r="P16" s="38"/>
      <c r="Q16" s="38"/>
      <c r="R16" s="38"/>
      <c r="S16" s="41"/>
      <c r="T16" s="41"/>
      <c r="U16" s="42">
        <v>0.0</v>
      </c>
      <c r="V16" s="38" t="s">
        <v>175</v>
      </c>
      <c r="W16" s="38" t="s">
        <v>177</v>
      </c>
      <c r="X16" s="43"/>
    </row>
    <row r="17" ht="48.0" customHeight="1">
      <c r="A17" s="36">
        <v>16.0</v>
      </c>
      <c r="B17" s="38" t="s">
        <v>528</v>
      </c>
      <c r="C17" s="38" t="s">
        <v>129</v>
      </c>
      <c r="D17" s="38" t="s">
        <v>130</v>
      </c>
      <c r="E17" s="38" t="s">
        <v>2</v>
      </c>
      <c r="F17" s="38" t="s">
        <v>529</v>
      </c>
      <c r="G17" s="38" t="s">
        <v>530</v>
      </c>
      <c r="H17" s="38" t="s">
        <v>504</v>
      </c>
      <c r="I17" s="38" t="s">
        <v>248</v>
      </c>
      <c r="J17" s="38" t="s">
        <v>232</v>
      </c>
      <c r="K17" s="38" t="s">
        <v>150</v>
      </c>
      <c r="L17" s="38" t="s">
        <v>445</v>
      </c>
      <c r="M17" s="38" t="s">
        <v>531</v>
      </c>
      <c r="N17" s="38" t="s">
        <v>532</v>
      </c>
      <c r="O17" s="38" t="s">
        <v>159</v>
      </c>
      <c r="P17" s="38"/>
      <c r="Q17" s="38"/>
      <c r="R17" s="38"/>
      <c r="S17" s="41"/>
      <c r="T17" s="41"/>
      <c r="U17" s="42">
        <v>0.0</v>
      </c>
      <c r="V17" s="38" t="s">
        <v>175</v>
      </c>
      <c r="W17" s="38" t="s">
        <v>177</v>
      </c>
      <c r="X17" s="43"/>
    </row>
    <row r="18" ht="48.0" customHeight="1">
      <c r="A18" s="36">
        <v>17.0</v>
      </c>
      <c r="B18" s="38" t="s">
        <v>533</v>
      </c>
      <c r="C18" s="38" t="s">
        <v>129</v>
      </c>
      <c r="D18" s="38" t="s">
        <v>130</v>
      </c>
      <c r="E18" s="38" t="s">
        <v>534</v>
      </c>
      <c r="F18" s="38" t="s">
        <v>535</v>
      </c>
      <c r="G18" s="38" t="s">
        <v>536</v>
      </c>
      <c r="H18" s="38" t="s">
        <v>380</v>
      </c>
      <c r="I18" s="38" t="s">
        <v>248</v>
      </c>
      <c r="J18" s="38" t="s">
        <v>147</v>
      </c>
      <c r="K18" s="38" t="s">
        <v>150</v>
      </c>
      <c r="L18" s="38" t="s">
        <v>62</v>
      </c>
      <c r="M18" s="38" t="s">
        <v>537</v>
      </c>
      <c r="N18" s="38" t="s">
        <v>538</v>
      </c>
      <c r="O18" s="38" t="s">
        <v>159</v>
      </c>
      <c r="P18" s="38"/>
      <c r="Q18" s="38"/>
      <c r="R18" s="38"/>
      <c r="S18" s="41"/>
      <c r="T18" s="41"/>
      <c r="U18" s="42">
        <v>0.0</v>
      </c>
      <c r="V18" s="38" t="s">
        <v>175</v>
      </c>
      <c r="W18" s="38" t="s">
        <v>177</v>
      </c>
      <c r="X18" s="43"/>
    </row>
    <row r="19" ht="48.0" customHeight="1">
      <c r="A19" s="36">
        <v>18.0</v>
      </c>
      <c r="B19" s="38" t="s">
        <v>539</v>
      </c>
      <c r="C19" s="38" t="s">
        <v>129</v>
      </c>
      <c r="D19" s="38" t="s">
        <v>130</v>
      </c>
      <c r="E19" s="38" t="s">
        <v>534</v>
      </c>
      <c r="F19" s="38" t="s">
        <v>540</v>
      </c>
      <c r="G19" s="38" t="s">
        <v>541</v>
      </c>
      <c r="H19" s="38" t="s">
        <v>380</v>
      </c>
      <c r="I19" s="38" t="s">
        <v>248</v>
      </c>
      <c r="J19" s="38" t="s">
        <v>147</v>
      </c>
      <c r="K19" s="38" t="s">
        <v>150</v>
      </c>
      <c r="L19" s="38" t="s">
        <v>542</v>
      </c>
      <c r="M19" s="38" t="s">
        <v>543</v>
      </c>
      <c r="N19" s="38" t="s">
        <v>544</v>
      </c>
      <c r="O19" s="38" t="s">
        <v>159</v>
      </c>
      <c r="P19" s="38"/>
      <c r="Q19" s="38"/>
      <c r="R19" s="38"/>
      <c r="S19" s="41"/>
      <c r="T19" s="41"/>
      <c r="U19" s="42">
        <v>0.0</v>
      </c>
      <c r="V19" s="38" t="s">
        <v>175</v>
      </c>
      <c r="W19" s="38" t="s">
        <v>177</v>
      </c>
      <c r="X19" s="43"/>
    </row>
    <row r="20" ht="48.0" customHeight="1">
      <c r="A20" s="36">
        <v>19.0</v>
      </c>
      <c r="B20" s="38" t="s">
        <v>545</v>
      </c>
      <c r="C20" s="38" t="s">
        <v>129</v>
      </c>
      <c r="D20" s="38" t="s">
        <v>130</v>
      </c>
      <c r="E20" s="38" t="s">
        <v>534</v>
      </c>
      <c r="F20" s="38" t="s">
        <v>546</v>
      </c>
      <c r="G20" s="38" t="s">
        <v>547</v>
      </c>
      <c r="H20" s="38" t="s">
        <v>380</v>
      </c>
      <c r="I20" s="38" t="s">
        <v>248</v>
      </c>
      <c r="J20" s="38" t="s">
        <v>147</v>
      </c>
      <c r="K20" s="38" t="s">
        <v>150</v>
      </c>
      <c r="L20" s="38" t="s">
        <v>542</v>
      </c>
      <c r="M20" s="38" t="s">
        <v>548</v>
      </c>
      <c r="N20" s="38" t="s">
        <v>549</v>
      </c>
      <c r="O20" s="38" t="s">
        <v>159</v>
      </c>
      <c r="P20" s="38"/>
      <c r="Q20" s="38"/>
      <c r="R20" s="38"/>
      <c r="S20" s="41"/>
      <c r="T20" s="41"/>
      <c r="U20" s="42">
        <v>0.0</v>
      </c>
      <c r="V20" s="38" t="s">
        <v>175</v>
      </c>
      <c r="W20" s="38" t="s">
        <v>177</v>
      </c>
      <c r="X20" s="43"/>
    </row>
    <row r="21" ht="48.0" customHeight="1">
      <c r="A21" s="36">
        <v>20.0</v>
      </c>
      <c r="B21" s="38" t="s">
        <v>550</v>
      </c>
      <c r="C21" s="38" t="s">
        <v>129</v>
      </c>
      <c r="D21" s="38" t="s">
        <v>130</v>
      </c>
      <c r="E21" s="38" t="s">
        <v>534</v>
      </c>
      <c r="F21" s="38" t="s">
        <v>551</v>
      </c>
      <c r="G21" s="38" t="s">
        <v>552</v>
      </c>
      <c r="H21" s="38" t="s">
        <v>380</v>
      </c>
      <c r="I21" s="38" t="s">
        <v>248</v>
      </c>
      <c r="J21" s="38" t="s">
        <v>193</v>
      </c>
      <c r="K21" s="38" t="s">
        <v>150</v>
      </c>
      <c r="L21" s="38" t="s">
        <v>553</v>
      </c>
      <c r="M21" s="38" t="s">
        <v>554</v>
      </c>
      <c r="N21" s="38" t="s">
        <v>555</v>
      </c>
      <c r="O21" s="38" t="s">
        <v>159</v>
      </c>
      <c r="P21" s="38"/>
      <c r="Q21" s="38"/>
      <c r="R21" s="38"/>
      <c r="S21" s="41"/>
      <c r="T21" s="41"/>
      <c r="U21" s="42">
        <v>0.0</v>
      </c>
      <c r="V21" s="38" t="s">
        <v>175</v>
      </c>
      <c r="W21" s="38" t="s">
        <v>177</v>
      </c>
      <c r="X21" s="43"/>
    </row>
    <row r="22" ht="48.0" customHeight="1">
      <c r="A22" s="36">
        <v>21.0</v>
      </c>
      <c r="B22" s="38" t="s">
        <v>556</v>
      </c>
      <c r="C22" s="38" t="s">
        <v>129</v>
      </c>
      <c r="D22" s="38" t="s">
        <v>130</v>
      </c>
      <c r="E22" s="38" t="s">
        <v>426</v>
      </c>
      <c r="F22" s="38" t="s">
        <v>557</v>
      </c>
      <c r="G22" s="38" t="s">
        <v>558</v>
      </c>
      <c r="H22" s="38" t="s">
        <v>472</v>
      </c>
      <c r="I22" s="38" t="s">
        <v>248</v>
      </c>
      <c r="J22" s="38" t="s">
        <v>147</v>
      </c>
      <c r="K22" s="38" t="s">
        <v>150</v>
      </c>
      <c r="L22" s="38" t="s">
        <v>62</v>
      </c>
      <c r="M22" s="38" t="s">
        <v>559</v>
      </c>
      <c r="N22" s="38" t="s">
        <v>560</v>
      </c>
      <c r="O22" s="38" t="s">
        <v>159</v>
      </c>
      <c r="P22" s="38"/>
      <c r="Q22" s="38"/>
      <c r="R22" s="38"/>
      <c r="S22" s="41"/>
      <c r="T22" s="41"/>
      <c r="U22" s="42">
        <v>0.0</v>
      </c>
      <c r="V22" s="38" t="s">
        <v>175</v>
      </c>
      <c r="W22" s="38" t="s">
        <v>177</v>
      </c>
      <c r="X22" s="43"/>
    </row>
    <row r="23" ht="48.0" customHeight="1">
      <c r="A23" s="36">
        <v>22.0</v>
      </c>
      <c r="B23" s="38" t="s">
        <v>561</v>
      </c>
      <c r="C23" s="38" t="s">
        <v>129</v>
      </c>
      <c r="D23" s="38" t="s">
        <v>130</v>
      </c>
      <c r="E23" s="38" t="s">
        <v>426</v>
      </c>
      <c r="F23" s="38" t="s">
        <v>562</v>
      </c>
      <c r="G23" s="38" t="s">
        <v>563</v>
      </c>
      <c r="H23" s="38" t="s">
        <v>19</v>
      </c>
      <c r="I23" s="38" t="s">
        <v>564</v>
      </c>
      <c r="J23" s="38" t="s">
        <v>147</v>
      </c>
      <c r="K23" s="38" t="s">
        <v>150</v>
      </c>
      <c r="L23" s="38" t="s">
        <v>556</v>
      </c>
      <c r="M23" s="38" t="s">
        <v>565</v>
      </c>
      <c r="N23" s="38" t="s">
        <v>566</v>
      </c>
      <c r="O23" s="38" t="s">
        <v>159</v>
      </c>
      <c r="P23" s="38"/>
      <c r="Q23" s="38"/>
      <c r="R23" s="38"/>
      <c r="S23" s="41"/>
      <c r="T23" s="41"/>
      <c r="U23" s="42">
        <v>0.0</v>
      </c>
      <c r="V23" s="38" t="s">
        <v>175</v>
      </c>
      <c r="W23" s="38" t="s">
        <v>177</v>
      </c>
      <c r="X23" s="43"/>
    </row>
    <row r="24" ht="48.0" customHeight="1">
      <c r="A24" s="36">
        <v>23.0</v>
      </c>
      <c r="B24" s="38" t="s">
        <v>567</v>
      </c>
      <c r="C24" s="38" t="s">
        <v>129</v>
      </c>
      <c r="D24" s="38" t="s">
        <v>130</v>
      </c>
      <c r="E24" s="38" t="s">
        <v>426</v>
      </c>
      <c r="F24" s="38" t="s">
        <v>568</v>
      </c>
      <c r="G24" s="38" t="s">
        <v>569</v>
      </c>
      <c r="H24" s="38" t="s">
        <v>570</v>
      </c>
      <c r="I24" s="38" t="s">
        <v>564</v>
      </c>
      <c r="J24" s="38" t="s">
        <v>147</v>
      </c>
      <c r="K24" s="38" t="s">
        <v>150</v>
      </c>
      <c r="L24" s="38" t="s">
        <v>571</v>
      </c>
      <c r="M24" s="38" t="s">
        <v>572</v>
      </c>
      <c r="N24" s="38" t="s">
        <v>573</v>
      </c>
      <c r="O24" s="38" t="s">
        <v>159</v>
      </c>
      <c r="P24" s="38"/>
      <c r="Q24" s="38"/>
      <c r="R24" s="38"/>
      <c r="S24" s="41"/>
      <c r="T24" s="41"/>
      <c r="U24" s="42">
        <v>0.0</v>
      </c>
      <c r="V24" s="38" t="s">
        <v>175</v>
      </c>
      <c r="W24" s="38" t="s">
        <v>177</v>
      </c>
      <c r="X24" s="43"/>
    </row>
    <row r="25" ht="48.0" customHeight="1">
      <c r="A25" s="36">
        <v>24.0</v>
      </c>
      <c r="B25" s="38" t="s">
        <v>574</v>
      </c>
      <c r="C25" s="38" t="s">
        <v>129</v>
      </c>
      <c r="D25" s="38" t="s">
        <v>130</v>
      </c>
      <c r="E25" s="38" t="s">
        <v>426</v>
      </c>
      <c r="F25" s="38" t="s">
        <v>575</v>
      </c>
      <c r="G25" s="38" t="s">
        <v>576</v>
      </c>
      <c r="H25" s="38" t="s">
        <v>105</v>
      </c>
      <c r="I25" s="38" t="s">
        <v>564</v>
      </c>
      <c r="J25" s="38" t="s">
        <v>147</v>
      </c>
      <c r="K25" s="38" t="s">
        <v>150</v>
      </c>
      <c r="L25" s="38" t="s">
        <v>577</v>
      </c>
      <c r="M25" s="38" t="s">
        <v>578</v>
      </c>
      <c r="N25" s="38" t="s">
        <v>579</v>
      </c>
      <c r="O25" s="38" t="s">
        <v>159</v>
      </c>
      <c r="P25" s="38"/>
      <c r="Q25" s="38"/>
      <c r="R25" s="38"/>
      <c r="S25" s="41"/>
      <c r="T25" s="41"/>
      <c r="U25" s="42">
        <v>0.0</v>
      </c>
      <c r="V25" s="38" t="s">
        <v>175</v>
      </c>
      <c r="W25" s="38" t="s">
        <v>177</v>
      </c>
      <c r="X25" s="43"/>
    </row>
    <row r="26" ht="48.0" customHeight="1">
      <c r="A26" s="36">
        <v>25.0</v>
      </c>
      <c r="B26" s="38" t="s">
        <v>580</v>
      </c>
      <c r="C26" s="38" t="s">
        <v>129</v>
      </c>
      <c r="D26" s="38" t="s">
        <v>130</v>
      </c>
      <c r="E26" s="38" t="s">
        <v>426</v>
      </c>
      <c r="F26" s="38" t="s">
        <v>581</v>
      </c>
      <c r="G26" s="38" t="s">
        <v>582</v>
      </c>
      <c r="H26" s="38" t="s">
        <v>583</v>
      </c>
      <c r="I26" s="38" t="s">
        <v>564</v>
      </c>
      <c r="J26" s="38" t="s">
        <v>147</v>
      </c>
      <c r="K26" s="38" t="s">
        <v>150</v>
      </c>
      <c r="L26" s="38" t="s">
        <v>561</v>
      </c>
      <c r="M26" s="38" t="s">
        <v>584</v>
      </c>
      <c r="N26" s="38" t="s">
        <v>585</v>
      </c>
      <c r="O26" s="38" t="s">
        <v>159</v>
      </c>
      <c r="P26" s="38"/>
      <c r="Q26" s="38"/>
      <c r="R26" s="38"/>
      <c r="S26" s="41"/>
      <c r="T26" s="41"/>
      <c r="U26" s="42">
        <v>0.0</v>
      </c>
      <c r="V26" s="38" t="s">
        <v>175</v>
      </c>
      <c r="W26" s="38" t="s">
        <v>177</v>
      </c>
      <c r="X26" s="43"/>
    </row>
    <row r="27" ht="48.0" customHeight="1">
      <c r="A27" s="36">
        <v>26.0</v>
      </c>
      <c r="B27" s="38" t="s">
        <v>586</v>
      </c>
      <c r="C27" s="38" t="s">
        <v>321</v>
      </c>
      <c r="D27" s="38" t="s">
        <v>130</v>
      </c>
      <c r="E27" s="38" t="s">
        <v>426</v>
      </c>
      <c r="F27" s="38" t="s">
        <v>587</v>
      </c>
      <c r="G27" s="38" t="s">
        <v>588</v>
      </c>
      <c r="H27" s="38" t="s">
        <v>589</v>
      </c>
      <c r="I27" s="38" t="s">
        <v>564</v>
      </c>
      <c r="J27" s="38" t="s">
        <v>147</v>
      </c>
      <c r="K27" s="38" t="s">
        <v>150</v>
      </c>
      <c r="L27" s="38" t="s">
        <v>590</v>
      </c>
      <c r="M27" s="38" t="s">
        <v>591</v>
      </c>
      <c r="N27" s="38" t="s">
        <v>592</v>
      </c>
      <c r="O27" s="38" t="s">
        <v>159</v>
      </c>
      <c r="P27" s="38"/>
      <c r="Q27" s="38"/>
      <c r="R27" s="38"/>
      <c r="S27" s="41"/>
      <c r="T27" s="41"/>
      <c r="U27" s="42">
        <v>0.0</v>
      </c>
      <c r="V27" s="38" t="s">
        <v>175</v>
      </c>
      <c r="W27" s="38" t="s">
        <v>177</v>
      </c>
      <c r="X27" s="43"/>
    </row>
    <row r="28" ht="48.0" customHeight="1">
      <c r="A28" s="36">
        <v>27.0</v>
      </c>
      <c r="B28" s="38" t="s">
        <v>593</v>
      </c>
      <c r="C28" s="38" t="s">
        <v>129</v>
      </c>
      <c r="D28" s="38" t="s">
        <v>130</v>
      </c>
      <c r="E28" s="38" t="s">
        <v>594</v>
      </c>
      <c r="F28" s="38" t="s">
        <v>595</v>
      </c>
      <c r="G28" s="38" t="s">
        <v>596</v>
      </c>
      <c r="H28" s="38" t="s">
        <v>597</v>
      </c>
      <c r="I28" s="38" t="s">
        <v>145</v>
      </c>
      <c r="J28" s="38" t="s">
        <v>147</v>
      </c>
      <c r="K28" s="38" t="s">
        <v>150</v>
      </c>
      <c r="L28" s="38" t="s">
        <v>598</v>
      </c>
      <c r="M28" s="38" t="s">
        <v>599</v>
      </c>
      <c r="N28" s="38" t="s">
        <v>600</v>
      </c>
      <c r="O28" s="38" t="s">
        <v>159</v>
      </c>
      <c r="P28" s="38"/>
      <c r="Q28" s="38"/>
      <c r="R28" s="38"/>
      <c r="S28" s="41"/>
      <c r="T28" s="41"/>
      <c r="U28" s="42">
        <v>0.0</v>
      </c>
      <c r="V28" s="38" t="s">
        <v>175</v>
      </c>
      <c r="W28" s="38" t="s">
        <v>177</v>
      </c>
      <c r="X28" s="43"/>
    </row>
    <row r="29" ht="48.0" customHeight="1">
      <c r="A29" s="36">
        <v>28.0</v>
      </c>
      <c r="B29" s="38" t="s">
        <v>601</v>
      </c>
      <c r="C29" s="38" t="s">
        <v>129</v>
      </c>
      <c r="D29" s="38" t="s">
        <v>130</v>
      </c>
      <c r="E29" s="38" t="s">
        <v>594</v>
      </c>
      <c r="F29" s="38" t="s">
        <v>602</v>
      </c>
      <c r="G29" s="38" t="s">
        <v>603</v>
      </c>
      <c r="H29" s="38" t="s">
        <v>597</v>
      </c>
      <c r="I29" s="38" t="s">
        <v>145</v>
      </c>
      <c r="J29" s="38" t="s">
        <v>193</v>
      </c>
      <c r="K29" s="38" t="s">
        <v>150</v>
      </c>
      <c r="L29" s="38" t="s">
        <v>593</v>
      </c>
      <c r="M29" s="38" t="s">
        <v>604</v>
      </c>
      <c r="N29" s="38" t="s">
        <v>605</v>
      </c>
      <c r="O29" s="38" t="s">
        <v>159</v>
      </c>
      <c r="P29" s="38"/>
      <c r="Q29" s="38"/>
      <c r="R29" s="38"/>
      <c r="S29" s="41"/>
      <c r="T29" s="41"/>
      <c r="U29" s="42">
        <v>0.0</v>
      </c>
      <c r="V29" s="38" t="s">
        <v>175</v>
      </c>
      <c r="W29" s="38" t="s">
        <v>177</v>
      </c>
      <c r="X29" s="43"/>
    </row>
    <row r="30" ht="48.0" customHeight="1">
      <c r="A30" s="36">
        <v>29.0</v>
      </c>
      <c r="B30" s="38" t="s">
        <v>606</v>
      </c>
      <c r="C30" s="38" t="s">
        <v>129</v>
      </c>
      <c r="D30" s="38" t="s">
        <v>130</v>
      </c>
      <c r="E30" s="38" t="s">
        <v>594</v>
      </c>
      <c r="F30" s="38" t="s">
        <v>607</v>
      </c>
      <c r="G30" s="38" t="s">
        <v>608</v>
      </c>
      <c r="H30" s="38" t="s">
        <v>609</v>
      </c>
      <c r="I30" s="38" t="s">
        <v>248</v>
      </c>
      <c r="J30" s="38" t="s">
        <v>193</v>
      </c>
      <c r="K30" s="38" t="s">
        <v>150</v>
      </c>
      <c r="L30" s="38" t="s">
        <v>593</v>
      </c>
      <c r="M30" s="38" t="s">
        <v>610</v>
      </c>
      <c r="N30" s="38" t="s">
        <v>611</v>
      </c>
      <c r="O30" s="38" t="s">
        <v>159</v>
      </c>
      <c r="P30" s="38"/>
      <c r="Q30" s="38"/>
      <c r="R30" s="38"/>
      <c r="S30" s="41"/>
      <c r="T30" s="41"/>
      <c r="U30" s="42">
        <v>0.0</v>
      </c>
      <c r="V30" s="38" t="s">
        <v>175</v>
      </c>
      <c r="W30" s="38" t="s">
        <v>177</v>
      </c>
      <c r="X30" s="43"/>
    </row>
    <row r="31" ht="48.0" customHeight="1">
      <c r="A31" s="36">
        <v>30.0</v>
      </c>
      <c r="B31" s="38" t="s">
        <v>612</v>
      </c>
      <c r="C31" s="38" t="s">
        <v>321</v>
      </c>
      <c r="D31" s="38" t="s">
        <v>130</v>
      </c>
      <c r="E31" s="38" t="s">
        <v>594</v>
      </c>
      <c r="F31" s="38" t="s">
        <v>613</v>
      </c>
      <c r="G31" s="38" t="s">
        <v>614</v>
      </c>
      <c r="H31" s="38" t="s">
        <v>325</v>
      </c>
      <c r="I31" s="38" t="s">
        <v>327</v>
      </c>
      <c r="J31" s="38" t="s">
        <v>193</v>
      </c>
      <c r="K31" s="38" t="s">
        <v>150</v>
      </c>
      <c r="L31" s="38" t="s">
        <v>593</v>
      </c>
      <c r="M31" s="38" t="s">
        <v>615</v>
      </c>
      <c r="N31" s="38" t="s">
        <v>616</v>
      </c>
      <c r="O31" s="38" t="s">
        <v>159</v>
      </c>
      <c r="P31" s="38"/>
      <c r="Q31" s="38"/>
      <c r="R31" s="38"/>
      <c r="S31" s="41"/>
      <c r="T31" s="41"/>
      <c r="U31" s="42">
        <v>0.0</v>
      </c>
      <c r="V31" s="38" t="s">
        <v>175</v>
      </c>
      <c r="W31" s="38" t="s">
        <v>177</v>
      </c>
      <c r="X31" s="43"/>
    </row>
    <row r="32" ht="48.0" customHeight="1">
      <c r="A32" s="36">
        <v>31.0</v>
      </c>
      <c r="B32" s="38" t="s">
        <v>617</v>
      </c>
      <c r="C32" s="38" t="s">
        <v>129</v>
      </c>
      <c r="D32" s="38" t="s">
        <v>130</v>
      </c>
      <c r="E32" s="38" t="s">
        <v>618</v>
      </c>
      <c r="F32" s="38" t="s">
        <v>619</v>
      </c>
      <c r="G32" s="38" t="s">
        <v>620</v>
      </c>
      <c r="H32" s="38" t="s">
        <v>143</v>
      </c>
      <c r="I32" s="38" t="s">
        <v>248</v>
      </c>
      <c r="J32" s="38" t="s">
        <v>147</v>
      </c>
      <c r="K32" s="38" t="s">
        <v>150</v>
      </c>
      <c r="L32" s="38" t="s">
        <v>124</v>
      </c>
      <c r="M32" s="38" t="s">
        <v>621</v>
      </c>
      <c r="N32" s="38" t="s">
        <v>622</v>
      </c>
      <c r="O32" s="38" t="s">
        <v>159</v>
      </c>
      <c r="P32" s="38"/>
      <c r="Q32" s="38"/>
      <c r="R32" s="38"/>
      <c r="S32" s="41"/>
      <c r="T32" s="41"/>
      <c r="U32" s="42">
        <v>0.0</v>
      </c>
      <c r="V32" s="38" t="s">
        <v>175</v>
      </c>
      <c r="W32" s="38" t="s">
        <v>177</v>
      </c>
      <c r="X32" s="43"/>
    </row>
    <row r="33" ht="48.0" customHeight="1">
      <c r="A33" s="36">
        <v>32.0</v>
      </c>
      <c r="B33" s="38" t="s">
        <v>623</v>
      </c>
      <c r="C33" s="38" t="s">
        <v>129</v>
      </c>
      <c r="D33" s="38" t="s">
        <v>130</v>
      </c>
      <c r="E33" s="38" t="s">
        <v>618</v>
      </c>
      <c r="F33" s="38" t="s">
        <v>624</v>
      </c>
      <c r="G33" s="38" t="s">
        <v>625</v>
      </c>
      <c r="H33" s="38" t="s">
        <v>143</v>
      </c>
      <c r="I33" s="38" t="s">
        <v>626</v>
      </c>
      <c r="J33" s="38" t="s">
        <v>147</v>
      </c>
      <c r="K33" s="38" t="s">
        <v>627</v>
      </c>
      <c r="L33" s="38" t="s">
        <v>628</v>
      </c>
      <c r="M33" s="38" t="s">
        <v>629</v>
      </c>
      <c r="N33" s="38" t="s">
        <v>630</v>
      </c>
      <c r="O33" s="38" t="s">
        <v>159</v>
      </c>
      <c r="P33" s="38"/>
      <c r="Q33" s="38"/>
      <c r="R33" s="38"/>
      <c r="S33" s="41"/>
      <c r="T33" s="41"/>
      <c r="U33" s="42">
        <v>0.0</v>
      </c>
      <c r="V33" s="38" t="s">
        <v>175</v>
      </c>
      <c r="W33" s="38" t="s">
        <v>177</v>
      </c>
      <c r="X33" s="43"/>
    </row>
    <row r="34" ht="48.0" customHeight="1">
      <c r="A34" s="36">
        <v>33.0</v>
      </c>
      <c r="B34" s="38" t="s">
        <v>631</v>
      </c>
      <c r="C34" s="38" t="s">
        <v>321</v>
      </c>
      <c r="D34" s="38" t="s">
        <v>130</v>
      </c>
      <c r="E34" s="38" t="s">
        <v>618</v>
      </c>
      <c r="F34" s="38" t="s">
        <v>632</v>
      </c>
      <c r="G34" s="38" t="s">
        <v>633</v>
      </c>
      <c r="H34" s="38" t="s">
        <v>325</v>
      </c>
      <c r="I34" s="38" t="s">
        <v>327</v>
      </c>
      <c r="J34" s="38" t="s">
        <v>147</v>
      </c>
      <c r="K34" s="38" t="s">
        <v>150</v>
      </c>
      <c r="L34" s="38" t="s">
        <v>617</v>
      </c>
      <c r="M34" s="38" t="s">
        <v>634</v>
      </c>
      <c r="N34" s="38" t="s">
        <v>635</v>
      </c>
      <c r="O34" s="38" t="s">
        <v>159</v>
      </c>
      <c r="P34" s="38"/>
      <c r="Q34" s="38"/>
      <c r="R34" s="38"/>
      <c r="S34" s="41"/>
      <c r="T34" s="41"/>
      <c r="U34" s="42">
        <v>0.0</v>
      </c>
      <c r="V34" s="38" t="s">
        <v>175</v>
      </c>
      <c r="W34" s="38" t="s">
        <v>177</v>
      </c>
      <c r="X34" s="43"/>
    </row>
    <row r="35" ht="48.0" customHeight="1">
      <c r="A35" s="36">
        <v>34.0</v>
      </c>
      <c r="B35" s="38" t="s">
        <v>636</v>
      </c>
      <c r="C35" s="38" t="s">
        <v>129</v>
      </c>
      <c r="D35" s="38" t="s">
        <v>130</v>
      </c>
      <c r="E35" s="38" t="s">
        <v>618</v>
      </c>
      <c r="F35" s="38" t="s">
        <v>637</v>
      </c>
      <c r="G35" s="38" t="s">
        <v>638</v>
      </c>
      <c r="H35" s="38" t="s">
        <v>143</v>
      </c>
      <c r="I35" s="38" t="s">
        <v>145</v>
      </c>
      <c r="J35" s="38" t="s">
        <v>193</v>
      </c>
      <c r="K35" s="38" t="s">
        <v>150</v>
      </c>
      <c r="L35" s="38" t="s">
        <v>617</v>
      </c>
      <c r="M35" s="38" t="s">
        <v>639</v>
      </c>
      <c r="N35" s="38" t="s">
        <v>640</v>
      </c>
      <c r="O35" s="38" t="s">
        <v>159</v>
      </c>
      <c r="P35" s="38"/>
      <c r="Q35" s="38"/>
      <c r="R35" s="38"/>
      <c r="S35" s="41"/>
      <c r="T35" s="41"/>
      <c r="U35" s="42">
        <v>0.0</v>
      </c>
      <c r="V35" s="38" t="s">
        <v>175</v>
      </c>
      <c r="W35" s="38" t="s">
        <v>177</v>
      </c>
      <c r="X35" s="43"/>
    </row>
    <row r="36" ht="48.0" customHeight="1">
      <c r="A36" s="36">
        <v>35.0</v>
      </c>
      <c r="B36" s="38" t="s">
        <v>641</v>
      </c>
      <c r="C36" s="38" t="s">
        <v>129</v>
      </c>
      <c r="D36" s="38" t="s">
        <v>130</v>
      </c>
      <c r="E36" s="38" t="s">
        <v>618</v>
      </c>
      <c r="F36" s="38" t="s">
        <v>642</v>
      </c>
      <c r="G36" s="38" t="s">
        <v>643</v>
      </c>
      <c r="H36" s="38" t="s">
        <v>143</v>
      </c>
      <c r="I36" s="38" t="s">
        <v>145</v>
      </c>
      <c r="J36" s="38" t="s">
        <v>193</v>
      </c>
      <c r="K36" s="38" t="s">
        <v>150</v>
      </c>
      <c r="L36" s="38" t="s">
        <v>644</v>
      </c>
      <c r="M36" s="38" t="s">
        <v>645</v>
      </c>
      <c r="N36" s="38" t="s">
        <v>646</v>
      </c>
      <c r="O36" s="38" t="s">
        <v>159</v>
      </c>
      <c r="P36" s="38"/>
      <c r="Q36" s="38"/>
      <c r="R36" s="38"/>
      <c r="S36" s="41"/>
      <c r="T36" s="41"/>
      <c r="U36" s="42">
        <v>0.0</v>
      </c>
      <c r="V36" s="38" t="s">
        <v>175</v>
      </c>
      <c r="W36" s="38" t="s">
        <v>177</v>
      </c>
      <c r="X36" s="43"/>
    </row>
    <row r="37" ht="48.0" customHeight="1">
      <c r="A37" s="36">
        <v>36.0</v>
      </c>
      <c r="B37" s="38" t="s">
        <v>647</v>
      </c>
      <c r="C37" s="38" t="s">
        <v>321</v>
      </c>
      <c r="D37" s="38" t="s">
        <v>130</v>
      </c>
      <c r="E37" s="38" t="s">
        <v>618</v>
      </c>
      <c r="F37" s="38" t="s">
        <v>648</v>
      </c>
      <c r="G37" s="38" t="s">
        <v>649</v>
      </c>
      <c r="H37" s="38" t="s">
        <v>472</v>
      </c>
      <c r="I37" s="38" t="s">
        <v>564</v>
      </c>
      <c r="J37" s="38" t="s">
        <v>193</v>
      </c>
      <c r="K37" s="38" t="s">
        <v>150</v>
      </c>
      <c r="L37" s="38" t="s">
        <v>631</v>
      </c>
      <c r="M37" s="38" t="s">
        <v>650</v>
      </c>
      <c r="N37" s="38" t="s">
        <v>651</v>
      </c>
      <c r="O37" s="38" t="s">
        <v>159</v>
      </c>
      <c r="P37" s="38"/>
      <c r="Q37" s="38"/>
      <c r="R37" s="38"/>
      <c r="S37" s="41"/>
      <c r="T37" s="41"/>
      <c r="U37" s="42">
        <v>0.0</v>
      </c>
      <c r="V37" s="38" t="s">
        <v>175</v>
      </c>
      <c r="W37" s="38" t="s">
        <v>177</v>
      </c>
      <c r="X37" s="43"/>
    </row>
    <row r="38" ht="48.0" customHeight="1">
      <c r="A38" s="36">
        <v>37.0</v>
      </c>
      <c r="B38" s="38" t="s">
        <v>652</v>
      </c>
      <c r="C38" s="38" t="s">
        <v>321</v>
      </c>
      <c r="D38" s="38" t="s">
        <v>130</v>
      </c>
      <c r="E38" s="38" t="s">
        <v>653</v>
      </c>
      <c r="F38" s="38" t="s">
        <v>654</v>
      </c>
      <c r="G38" s="38" t="s">
        <v>655</v>
      </c>
      <c r="H38" s="38" t="s">
        <v>325</v>
      </c>
      <c r="I38" s="38" t="s">
        <v>327</v>
      </c>
      <c r="J38" s="38" t="s">
        <v>147</v>
      </c>
      <c r="K38" s="38" t="s">
        <v>150</v>
      </c>
      <c r="L38" s="38" t="s">
        <v>656</v>
      </c>
      <c r="M38" s="38" t="s">
        <v>657</v>
      </c>
      <c r="N38" s="38" t="s">
        <v>658</v>
      </c>
      <c r="O38" s="38" t="s">
        <v>159</v>
      </c>
      <c r="P38" s="38"/>
      <c r="Q38" s="38"/>
      <c r="R38" s="38"/>
      <c r="S38" s="41"/>
      <c r="T38" s="41"/>
      <c r="U38" s="42">
        <v>0.0</v>
      </c>
      <c r="V38" s="38" t="s">
        <v>175</v>
      </c>
      <c r="W38" s="38" t="s">
        <v>177</v>
      </c>
      <c r="X38" s="43"/>
    </row>
    <row r="39" ht="48.0" customHeight="1">
      <c r="A39" s="36">
        <v>38.0</v>
      </c>
      <c r="B39" s="38" t="s">
        <v>659</v>
      </c>
      <c r="C39" s="38" t="s">
        <v>129</v>
      </c>
      <c r="D39" s="38" t="s">
        <v>130</v>
      </c>
      <c r="E39" s="38" t="s">
        <v>653</v>
      </c>
      <c r="F39" s="38" t="s">
        <v>660</v>
      </c>
      <c r="G39" s="38" t="s">
        <v>661</v>
      </c>
      <c r="H39" s="38" t="s">
        <v>662</v>
      </c>
      <c r="I39" s="38" t="s">
        <v>248</v>
      </c>
      <c r="J39" s="38" t="s">
        <v>193</v>
      </c>
      <c r="K39" s="38" t="s">
        <v>150</v>
      </c>
      <c r="L39" s="38" t="s">
        <v>652</v>
      </c>
      <c r="M39" s="38" t="s">
        <v>663</v>
      </c>
      <c r="N39" s="38" t="s">
        <v>664</v>
      </c>
      <c r="O39" s="38" t="s">
        <v>159</v>
      </c>
      <c r="P39" s="38"/>
      <c r="Q39" s="38"/>
      <c r="R39" s="38"/>
      <c r="S39" s="41"/>
      <c r="T39" s="41"/>
      <c r="U39" s="42">
        <v>0.0</v>
      </c>
      <c r="V39" s="38" t="s">
        <v>175</v>
      </c>
      <c r="W39" s="38" t="s">
        <v>177</v>
      </c>
      <c r="X39" s="43"/>
    </row>
    <row r="40" ht="48.0" customHeight="1">
      <c r="A40" s="36">
        <v>39.0</v>
      </c>
      <c r="B40" s="38" t="s">
        <v>665</v>
      </c>
      <c r="C40" s="38" t="s">
        <v>129</v>
      </c>
      <c r="D40" s="38" t="s">
        <v>130</v>
      </c>
      <c r="E40" s="38" t="s">
        <v>12</v>
      </c>
      <c r="F40" s="38" t="s">
        <v>666</v>
      </c>
      <c r="G40" s="38" t="s">
        <v>667</v>
      </c>
      <c r="H40" s="38" t="s">
        <v>380</v>
      </c>
      <c r="I40" s="38" t="s">
        <v>248</v>
      </c>
      <c r="J40" s="38" t="s">
        <v>147</v>
      </c>
      <c r="K40" s="38" t="s">
        <v>150</v>
      </c>
      <c r="L40" s="38" t="s">
        <v>62</v>
      </c>
      <c r="M40" s="38" t="s">
        <v>668</v>
      </c>
      <c r="N40" s="38" t="s">
        <v>669</v>
      </c>
      <c r="O40" s="38" t="s">
        <v>159</v>
      </c>
      <c r="P40" s="38"/>
      <c r="Q40" s="38"/>
      <c r="R40" s="38"/>
      <c r="S40" s="41"/>
      <c r="T40" s="41"/>
      <c r="U40" s="42">
        <v>0.0</v>
      </c>
      <c r="V40" s="38" t="s">
        <v>175</v>
      </c>
      <c r="W40" s="38" t="s">
        <v>177</v>
      </c>
      <c r="X40" s="43"/>
    </row>
    <row r="41" ht="48.0" customHeight="1">
      <c r="A41" s="36">
        <v>40.0</v>
      </c>
      <c r="B41" s="38" t="s">
        <v>670</v>
      </c>
      <c r="C41" s="38" t="s">
        <v>129</v>
      </c>
      <c r="D41" s="38" t="s">
        <v>130</v>
      </c>
      <c r="E41" s="38" t="s">
        <v>12</v>
      </c>
      <c r="F41" s="38" t="s">
        <v>671</v>
      </c>
      <c r="G41" s="38" t="s">
        <v>672</v>
      </c>
      <c r="H41" s="38" t="s">
        <v>19</v>
      </c>
      <c r="I41" s="38" t="s">
        <v>248</v>
      </c>
      <c r="J41" s="38" t="s">
        <v>193</v>
      </c>
      <c r="K41" s="38" t="s">
        <v>150</v>
      </c>
      <c r="L41" s="38" t="s">
        <v>665</v>
      </c>
      <c r="M41" s="38" t="s">
        <v>673</v>
      </c>
      <c r="N41" s="38" t="s">
        <v>674</v>
      </c>
      <c r="O41" s="38" t="s">
        <v>159</v>
      </c>
      <c r="P41" s="38"/>
      <c r="Q41" s="38"/>
      <c r="R41" s="38"/>
      <c r="S41" s="41"/>
      <c r="T41" s="41"/>
      <c r="U41" s="42">
        <v>0.0</v>
      </c>
      <c r="V41" s="38" t="s">
        <v>175</v>
      </c>
      <c r="W41" s="38" t="s">
        <v>177</v>
      </c>
      <c r="X41" s="43"/>
    </row>
    <row r="42" ht="48.0" customHeight="1">
      <c r="A42" s="36">
        <v>41.0</v>
      </c>
      <c r="B42" s="38" t="s">
        <v>675</v>
      </c>
      <c r="C42" s="38" t="s">
        <v>129</v>
      </c>
      <c r="D42" s="38" t="s">
        <v>130</v>
      </c>
      <c r="E42" s="38" t="s">
        <v>12</v>
      </c>
      <c r="F42" s="38" t="s">
        <v>676</v>
      </c>
      <c r="G42" s="38" t="s">
        <v>677</v>
      </c>
      <c r="H42" s="38" t="s">
        <v>678</v>
      </c>
      <c r="I42" s="38" t="s">
        <v>248</v>
      </c>
      <c r="J42" s="38" t="s">
        <v>193</v>
      </c>
      <c r="K42" s="38" t="s">
        <v>679</v>
      </c>
      <c r="L42" s="38" t="s">
        <v>665</v>
      </c>
      <c r="M42" s="38" t="s">
        <v>680</v>
      </c>
      <c r="N42" s="38" t="s">
        <v>681</v>
      </c>
      <c r="O42" s="38" t="s">
        <v>159</v>
      </c>
      <c r="P42" s="38"/>
      <c r="Q42" s="38"/>
      <c r="R42" s="38"/>
      <c r="S42" s="41"/>
      <c r="T42" s="41"/>
      <c r="U42" s="42">
        <v>0.0</v>
      </c>
      <c r="V42" s="38" t="s">
        <v>175</v>
      </c>
      <c r="W42" s="38" t="s">
        <v>177</v>
      </c>
      <c r="X42" s="43"/>
    </row>
    <row r="43" ht="48.0" customHeight="1">
      <c r="A43" s="36">
        <v>42.0</v>
      </c>
      <c r="B43" s="38" t="s">
        <v>682</v>
      </c>
      <c r="C43" s="38" t="s">
        <v>321</v>
      </c>
      <c r="D43" s="38" t="s">
        <v>130</v>
      </c>
      <c r="E43" s="38" t="s">
        <v>12</v>
      </c>
      <c r="F43" s="38" t="s">
        <v>683</v>
      </c>
      <c r="G43" s="38" t="s">
        <v>684</v>
      </c>
      <c r="H43" s="38" t="s">
        <v>325</v>
      </c>
      <c r="I43" s="38" t="s">
        <v>685</v>
      </c>
      <c r="J43" s="38" t="s">
        <v>147</v>
      </c>
      <c r="K43" s="38" t="s">
        <v>150</v>
      </c>
      <c r="L43" s="38" t="s">
        <v>62</v>
      </c>
      <c r="M43" s="38" t="s">
        <v>686</v>
      </c>
      <c r="N43" s="38" t="s">
        <v>687</v>
      </c>
      <c r="O43" s="38" t="s">
        <v>159</v>
      </c>
      <c r="P43" s="38"/>
      <c r="Q43" s="38"/>
      <c r="R43" s="38"/>
      <c r="S43" s="41"/>
      <c r="T43" s="41"/>
      <c r="U43" s="42">
        <v>0.0</v>
      </c>
      <c r="V43" s="38" t="s">
        <v>175</v>
      </c>
      <c r="W43" s="38" t="s">
        <v>177</v>
      </c>
      <c r="X43" s="43"/>
    </row>
    <row r="44" ht="48.0" customHeight="1">
      <c r="A44" s="36">
        <v>43.0</v>
      </c>
      <c r="B44" s="38" t="s">
        <v>688</v>
      </c>
      <c r="C44" s="38" t="s">
        <v>129</v>
      </c>
      <c r="D44" s="38" t="s">
        <v>228</v>
      </c>
      <c r="E44" s="38" t="s">
        <v>689</v>
      </c>
      <c r="F44" s="38" t="s">
        <v>690</v>
      </c>
      <c r="G44" s="38" t="s">
        <v>691</v>
      </c>
      <c r="H44" s="38" t="s">
        <v>692</v>
      </c>
      <c r="I44" s="38" t="s">
        <v>145</v>
      </c>
      <c r="J44" s="38" t="s">
        <v>147</v>
      </c>
      <c r="K44" s="38" t="s">
        <v>693</v>
      </c>
      <c r="L44" s="38" t="s">
        <v>694</v>
      </c>
      <c r="M44" s="38" t="s">
        <v>695</v>
      </c>
      <c r="N44" s="38" t="s">
        <v>696</v>
      </c>
      <c r="O44" s="38" t="s">
        <v>159</v>
      </c>
      <c r="P44" s="38"/>
      <c r="Q44" s="38"/>
      <c r="R44" s="38"/>
      <c r="S44" s="41"/>
      <c r="T44" s="41"/>
      <c r="U44" s="42">
        <v>0.0</v>
      </c>
      <c r="V44" s="38" t="s">
        <v>175</v>
      </c>
      <c r="W44" s="38" t="s">
        <v>177</v>
      </c>
      <c r="X44" s="43"/>
    </row>
    <row r="45" ht="48.0" customHeight="1">
      <c r="A45" s="36">
        <v>44.0</v>
      </c>
      <c r="B45" s="38" t="s">
        <v>697</v>
      </c>
      <c r="C45" s="38" t="s">
        <v>129</v>
      </c>
      <c r="D45" s="38" t="s">
        <v>228</v>
      </c>
      <c r="E45" s="38" t="s">
        <v>689</v>
      </c>
      <c r="F45" s="38" t="s">
        <v>698</v>
      </c>
      <c r="G45" s="38" t="s">
        <v>699</v>
      </c>
      <c r="H45" s="38" t="s">
        <v>217</v>
      </c>
      <c r="I45" s="38" t="s">
        <v>248</v>
      </c>
      <c r="J45" s="38" t="s">
        <v>147</v>
      </c>
      <c r="K45" s="38" t="s">
        <v>693</v>
      </c>
      <c r="L45" s="38" t="s">
        <v>561</v>
      </c>
      <c r="M45" s="38" t="s">
        <v>700</v>
      </c>
      <c r="N45" s="38" t="s">
        <v>701</v>
      </c>
      <c r="O45" s="38" t="s">
        <v>159</v>
      </c>
      <c r="P45" s="38"/>
      <c r="Q45" s="38"/>
      <c r="R45" s="38"/>
      <c r="S45" s="41"/>
      <c r="T45" s="41"/>
      <c r="U45" s="42">
        <v>0.0</v>
      </c>
      <c r="V45" s="38" t="s">
        <v>175</v>
      </c>
      <c r="W45" s="38" t="s">
        <v>177</v>
      </c>
      <c r="X45" s="43"/>
    </row>
    <row r="46" ht="48.0" customHeight="1">
      <c r="A46" s="36">
        <v>45.0</v>
      </c>
      <c r="B46" s="38" t="s">
        <v>702</v>
      </c>
      <c r="C46" s="38" t="s">
        <v>129</v>
      </c>
      <c r="D46" s="38" t="s">
        <v>228</v>
      </c>
      <c r="E46" s="38" t="s">
        <v>689</v>
      </c>
      <c r="F46" s="38" t="s">
        <v>703</v>
      </c>
      <c r="G46" s="38" t="s">
        <v>704</v>
      </c>
      <c r="H46" s="38" t="s">
        <v>570</v>
      </c>
      <c r="I46" s="38" t="s">
        <v>248</v>
      </c>
      <c r="J46" s="38" t="s">
        <v>147</v>
      </c>
      <c r="K46" s="38" t="s">
        <v>693</v>
      </c>
      <c r="L46" s="38" t="s">
        <v>567</v>
      </c>
      <c r="M46" s="38" t="s">
        <v>705</v>
      </c>
      <c r="N46" s="38" t="s">
        <v>706</v>
      </c>
      <c r="O46" s="38" t="s">
        <v>159</v>
      </c>
      <c r="P46" s="38"/>
      <c r="Q46" s="38"/>
      <c r="R46" s="38"/>
      <c r="S46" s="41"/>
      <c r="T46" s="41"/>
      <c r="U46" s="42">
        <v>0.0</v>
      </c>
      <c r="V46" s="38" t="s">
        <v>175</v>
      </c>
      <c r="W46" s="38" t="s">
        <v>177</v>
      </c>
      <c r="X46" s="43"/>
    </row>
    <row r="47" ht="48.0" customHeight="1">
      <c r="A47" s="36">
        <v>46.0</v>
      </c>
      <c r="B47" s="38" t="s">
        <v>707</v>
      </c>
      <c r="C47" s="38" t="s">
        <v>129</v>
      </c>
      <c r="D47" s="38" t="s">
        <v>228</v>
      </c>
      <c r="E47" s="38" t="s">
        <v>689</v>
      </c>
      <c r="F47" s="38" t="s">
        <v>708</v>
      </c>
      <c r="G47" s="38" t="s">
        <v>709</v>
      </c>
      <c r="H47" s="38" t="s">
        <v>143</v>
      </c>
      <c r="I47" s="38" t="s">
        <v>248</v>
      </c>
      <c r="J47" s="38" t="s">
        <v>193</v>
      </c>
      <c r="K47" s="38" t="s">
        <v>693</v>
      </c>
      <c r="L47" s="38" t="s">
        <v>688</v>
      </c>
      <c r="M47" s="38" t="s">
        <v>710</v>
      </c>
      <c r="N47" s="38" t="s">
        <v>711</v>
      </c>
      <c r="O47" s="38" t="s">
        <v>159</v>
      </c>
      <c r="P47" s="38"/>
      <c r="Q47" s="38"/>
      <c r="R47" s="38"/>
      <c r="S47" s="41"/>
      <c r="T47" s="41"/>
      <c r="U47" s="42">
        <v>0.0</v>
      </c>
      <c r="V47" s="38" t="s">
        <v>175</v>
      </c>
      <c r="W47" s="38" t="s">
        <v>177</v>
      </c>
      <c r="X47" s="43"/>
    </row>
    <row r="48" ht="48.0" customHeight="1">
      <c r="A48" s="36">
        <v>47.0</v>
      </c>
      <c r="B48" s="38" t="s">
        <v>712</v>
      </c>
      <c r="C48" s="38" t="s">
        <v>129</v>
      </c>
      <c r="D48" s="38" t="s">
        <v>228</v>
      </c>
      <c r="E48" s="38" t="s">
        <v>689</v>
      </c>
      <c r="F48" s="38" t="s">
        <v>713</v>
      </c>
      <c r="G48" s="38" t="s">
        <v>714</v>
      </c>
      <c r="H48" s="38" t="s">
        <v>715</v>
      </c>
      <c r="I48" s="38" t="s">
        <v>248</v>
      </c>
      <c r="J48" s="38" t="s">
        <v>193</v>
      </c>
      <c r="K48" s="38" t="s">
        <v>693</v>
      </c>
      <c r="L48" s="38" t="s">
        <v>697</v>
      </c>
      <c r="M48" s="38" t="s">
        <v>716</v>
      </c>
      <c r="N48" s="38" t="s">
        <v>717</v>
      </c>
      <c r="O48" s="38" t="s">
        <v>159</v>
      </c>
      <c r="P48" s="38"/>
      <c r="Q48" s="38"/>
      <c r="R48" s="38"/>
      <c r="S48" s="41"/>
      <c r="T48" s="41"/>
      <c r="U48" s="42">
        <v>0.0</v>
      </c>
      <c r="V48" s="38" t="s">
        <v>175</v>
      </c>
      <c r="W48" s="38" t="s">
        <v>177</v>
      </c>
      <c r="X48" s="43"/>
    </row>
    <row r="49" ht="48.0" customHeight="1">
      <c r="A49" s="36">
        <v>48.0</v>
      </c>
      <c r="B49" s="38" t="s">
        <v>718</v>
      </c>
      <c r="C49" s="38" t="s">
        <v>129</v>
      </c>
      <c r="D49" s="38" t="s">
        <v>228</v>
      </c>
      <c r="E49" s="38" t="s">
        <v>719</v>
      </c>
      <c r="F49" s="38" t="s">
        <v>720</v>
      </c>
      <c r="G49" s="38" t="s">
        <v>721</v>
      </c>
      <c r="H49" s="38" t="s">
        <v>722</v>
      </c>
      <c r="I49" s="38" t="s">
        <v>248</v>
      </c>
      <c r="J49" s="38" t="s">
        <v>147</v>
      </c>
      <c r="K49" s="38" t="s">
        <v>693</v>
      </c>
      <c r="L49" s="38" t="s">
        <v>723</v>
      </c>
      <c r="M49" s="38" t="s">
        <v>724</v>
      </c>
      <c r="N49" s="38" t="s">
        <v>725</v>
      </c>
      <c r="O49" s="38" t="s">
        <v>159</v>
      </c>
      <c r="P49" s="38"/>
      <c r="Q49" s="38"/>
      <c r="R49" s="38"/>
      <c r="S49" s="41"/>
      <c r="T49" s="41"/>
      <c r="U49" s="42">
        <v>0.0</v>
      </c>
      <c r="V49" s="38" t="s">
        <v>175</v>
      </c>
      <c r="W49" s="38" t="s">
        <v>177</v>
      </c>
      <c r="X49" s="43"/>
    </row>
    <row r="50" ht="48.0" customHeight="1">
      <c r="A50" s="36">
        <v>49.0</v>
      </c>
      <c r="B50" s="38" t="s">
        <v>726</v>
      </c>
      <c r="C50" s="38" t="s">
        <v>129</v>
      </c>
      <c r="D50" s="38" t="s">
        <v>228</v>
      </c>
      <c r="E50" s="38" t="s">
        <v>719</v>
      </c>
      <c r="F50" s="38" t="s">
        <v>727</v>
      </c>
      <c r="G50" s="38" t="s">
        <v>728</v>
      </c>
      <c r="H50" s="38" t="s">
        <v>722</v>
      </c>
      <c r="I50" s="38" t="s">
        <v>248</v>
      </c>
      <c r="J50" s="38" t="s">
        <v>147</v>
      </c>
      <c r="K50" s="38" t="s">
        <v>693</v>
      </c>
      <c r="L50" s="38" t="s">
        <v>729</v>
      </c>
      <c r="M50" s="38" t="s">
        <v>730</v>
      </c>
      <c r="N50" s="38" t="s">
        <v>731</v>
      </c>
      <c r="O50" s="38" t="s">
        <v>159</v>
      </c>
      <c r="P50" s="38"/>
      <c r="Q50" s="38"/>
      <c r="R50" s="38"/>
      <c r="S50" s="41"/>
      <c r="T50" s="41"/>
      <c r="U50" s="42">
        <v>0.0</v>
      </c>
      <c r="V50" s="38" t="s">
        <v>175</v>
      </c>
      <c r="W50" s="38" t="s">
        <v>177</v>
      </c>
      <c r="X50" s="43"/>
    </row>
    <row r="51" ht="48.0" customHeight="1">
      <c r="A51" s="36">
        <v>50.0</v>
      </c>
      <c r="B51" s="38" t="s">
        <v>732</v>
      </c>
      <c r="C51" s="38" t="s">
        <v>129</v>
      </c>
      <c r="D51" s="38" t="s">
        <v>228</v>
      </c>
      <c r="E51" s="38" t="s">
        <v>719</v>
      </c>
      <c r="F51" s="38" t="s">
        <v>733</v>
      </c>
      <c r="G51" s="38" t="s">
        <v>734</v>
      </c>
      <c r="H51" s="38" t="s">
        <v>722</v>
      </c>
      <c r="I51" s="38" t="s">
        <v>248</v>
      </c>
      <c r="J51" s="38" t="s">
        <v>193</v>
      </c>
      <c r="K51" s="38" t="s">
        <v>693</v>
      </c>
      <c r="L51" s="38" t="s">
        <v>718</v>
      </c>
      <c r="M51" s="38" t="s">
        <v>735</v>
      </c>
      <c r="N51" s="38" t="s">
        <v>736</v>
      </c>
      <c r="O51" s="38" t="s">
        <v>159</v>
      </c>
      <c r="P51" s="38"/>
      <c r="Q51" s="38"/>
      <c r="R51" s="38"/>
      <c r="S51" s="41"/>
      <c r="T51" s="41"/>
      <c r="U51" s="42">
        <v>0.0</v>
      </c>
      <c r="V51" s="38" t="s">
        <v>175</v>
      </c>
      <c r="W51" s="38" t="s">
        <v>177</v>
      </c>
      <c r="X51" s="43"/>
    </row>
    <row r="52" ht="48.0" customHeight="1">
      <c r="A52" s="36">
        <v>51.0</v>
      </c>
      <c r="B52" s="38" t="s">
        <v>737</v>
      </c>
      <c r="C52" s="38" t="s">
        <v>129</v>
      </c>
      <c r="D52" s="38" t="s">
        <v>228</v>
      </c>
      <c r="E52" s="38" t="s">
        <v>719</v>
      </c>
      <c r="F52" s="38" t="s">
        <v>738</v>
      </c>
      <c r="G52" s="38" t="s">
        <v>739</v>
      </c>
      <c r="H52" s="38" t="s">
        <v>740</v>
      </c>
      <c r="I52" s="38" t="s">
        <v>248</v>
      </c>
      <c r="J52" s="38" t="s">
        <v>232</v>
      </c>
      <c r="K52" s="38" t="s">
        <v>693</v>
      </c>
      <c r="L52" s="38" t="s">
        <v>741</v>
      </c>
      <c r="M52" s="38" t="s">
        <v>742</v>
      </c>
      <c r="N52" s="38" t="s">
        <v>743</v>
      </c>
      <c r="O52" s="38" t="s">
        <v>159</v>
      </c>
      <c r="P52" s="38"/>
      <c r="Q52" s="38"/>
      <c r="R52" s="38"/>
      <c r="S52" s="41"/>
      <c r="T52" s="41"/>
      <c r="U52" s="42">
        <v>0.0</v>
      </c>
      <c r="V52" s="38" t="s">
        <v>175</v>
      </c>
      <c r="W52" s="38" t="s">
        <v>177</v>
      </c>
      <c r="X52" s="43"/>
    </row>
    <row r="53" ht="48.0" customHeight="1">
      <c r="A53" s="36">
        <v>52.0</v>
      </c>
      <c r="B53" s="38" t="s">
        <v>744</v>
      </c>
      <c r="C53" s="38" t="s">
        <v>129</v>
      </c>
      <c r="D53" s="38" t="s">
        <v>228</v>
      </c>
      <c r="E53" s="38" t="s">
        <v>719</v>
      </c>
      <c r="F53" s="38" t="s">
        <v>745</v>
      </c>
      <c r="G53" s="38" t="s">
        <v>746</v>
      </c>
      <c r="H53" s="38" t="s">
        <v>747</v>
      </c>
      <c r="I53" s="38" t="s">
        <v>145</v>
      </c>
      <c r="J53" s="38" t="s">
        <v>232</v>
      </c>
      <c r="K53" s="38" t="s">
        <v>693</v>
      </c>
      <c r="L53" s="38" t="s">
        <v>748</v>
      </c>
      <c r="M53" s="38" t="s">
        <v>749</v>
      </c>
      <c r="N53" s="38" t="s">
        <v>750</v>
      </c>
      <c r="O53" s="38" t="s">
        <v>159</v>
      </c>
      <c r="P53" s="38"/>
      <c r="Q53" s="38"/>
      <c r="R53" s="38"/>
      <c r="S53" s="41"/>
      <c r="T53" s="41"/>
      <c r="U53" s="42">
        <v>0.0</v>
      </c>
      <c r="V53" s="38" t="s">
        <v>175</v>
      </c>
      <c r="W53" s="38" t="s">
        <v>177</v>
      </c>
      <c r="X53" s="43"/>
    </row>
    <row r="54" ht="48.0" customHeight="1">
      <c r="A54" s="36">
        <v>53.0</v>
      </c>
      <c r="B54" s="38" t="s">
        <v>751</v>
      </c>
      <c r="C54" s="38" t="s">
        <v>129</v>
      </c>
      <c r="D54" s="38" t="s">
        <v>228</v>
      </c>
      <c r="E54" s="38" t="s">
        <v>752</v>
      </c>
      <c r="F54" s="38" t="s">
        <v>753</v>
      </c>
      <c r="G54" s="38" t="s">
        <v>754</v>
      </c>
      <c r="H54" s="38" t="s">
        <v>722</v>
      </c>
      <c r="I54" s="38" t="s">
        <v>248</v>
      </c>
      <c r="J54" s="38" t="s">
        <v>147</v>
      </c>
      <c r="K54" s="38" t="s">
        <v>693</v>
      </c>
      <c r="L54" s="38" t="s">
        <v>718</v>
      </c>
      <c r="M54" s="38" t="s">
        <v>755</v>
      </c>
      <c r="N54" s="38" t="s">
        <v>756</v>
      </c>
      <c r="O54" s="38" t="s">
        <v>159</v>
      </c>
      <c r="P54" s="38"/>
      <c r="Q54" s="38"/>
      <c r="R54" s="38"/>
      <c r="S54" s="41"/>
      <c r="T54" s="41"/>
      <c r="U54" s="42">
        <v>0.0</v>
      </c>
      <c r="V54" s="38" t="s">
        <v>175</v>
      </c>
      <c r="W54" s="38" t="s">
        <v>177</v>
      </c>
      <c r="X54" s="43"/>
    </row>
    <row r="55" ht="48.0" customHeight="1">
      <c r="A55" s="36">
        <v>54.0</v>
      </c>
      <c r="B55" s="38" t="s">
        <v>757</v>
      </c>
      <c r="C55" s="38" t="s">
        <v>129</v>
      </c>
      <c r="D55" s="38" t="s">
        <v>228</v>
      </c>
      <c r="E55" s="38" t="s">
        <v>752</v>
      </c>
      <c r="F55" s="38" t="s">
        <v>758</v>
      </c>
      <c r="G55" s="38" t="s">
        <v>759</v>
      </c>
      <c r="H55" s="38" t="s">
        <v>760</v>
      </c>
      <c r="I55" s="38" t="s">
        <v>248</v>
      </c>
      <c r="J55" s="38" t="s">
        <v>193</v>
      </c>
      <c r="K55" s="38" t="s">
        <v>693</v>
      </c>
      <c r="L55" s="38" t="s">
        <v>761</v>
      </c>
      <c r="M55" s="38" t="s">
        <v>762</v>
      </c>
      <c r="N55" s="38" t="s">
        <v>763</v>
      </c>
      <c r="O55" s="38" t="s">
        <v>159</v>
      </c>
      <c r="P55" s="38"/>
      <c r="Q55" s="38"/>
      <c r="R55" s="38"/>
      <c r="S55" s="41"/>
      <c r="T55" s="41"/>
      <c r="U55" s="42">
        <v>0.0</v>
      </c>
      <c r="V55" s="38" t="s">
        <v>175</v>
      </c>
      <c r="W55" s="38" t="s">
        <v>177</v>
      </c>
      <c r="X55" s="43"/>
    </row>
    <row r="56" ht="48.0" customHeight="1">
      <c r="A56" s="36">
        <v>55.0</v>
      </c>
      <c r="B56" s="38" t="s">
        <v>764</v>
      </c>
      <c r="C56" s="38" t="s">
        <v>129</v>
      </c>
      <c r="D56" s="38" t="s">
        <v>228</v>
      </c>
      <c r="E56" s="38" t="s">
        <v>752</v>
      </c>
      <c r="F56" s="38" t="s">
        <v>765</v>
      </c>
      <c r="G56" s="38" t="s">
        <v>766</v>
      </c>
      <c r="H56" s="38" t="s">
        <v>767</v>
      </c>
      <c r="I56" s="38" t="s">
        <v>145</v>
      </c>
      <c r="J56" s="38" t="s">
        <v>147</v>
      </c>
      <c r="K56" s="38" t="s">
        <v>693</v>
      </c>
      <c r="L56" s="38" t="s">
        <v>768</v>
      </c>
      <c r="M56" s="38" t="s">
        <v>769</v>
      </c>
      <c r="N56" s="38" t="s">
        <v>770</v>
      </c>
      <c r="O56" s="38" t="s">
        <v>159</v>
      </c>
      <c r="P56" s="38"/>
      <c r="Q56" s="38"/>
      <c r="R56" s="38"/>
      <c r="S56" s="41"/>
      <c r="T56" s="41"/>
      <c r="U56" s="42">
        <v>0.0</v>
      </c>
      <c r="V56" s="38" t="s">
        <v>175</v>
      </c>
      <c r="W56" s="38" t="s">
        <v>177</v>
      </c>
      <c r="X56" s="43"/>
    </row>
    <row r="57" ht="48.0" customHeight="1">
      <c r="A57" s="36">
        <v>56.0</v>
      </c>
      <c r="B57" s="38" t="s">
        <v>771</v>
      </c>
      <c r="C57" s="38" t="s">
        <v>129</v>
      </c>
      <c r="D57" s="38" t="s">
        <v>228</v>
      </c>
      <c r="E57" s="38" t="s">
        <v>772</v>
      </c>
      <c r="F57" s="38" t="s">
        <v>773</v>
      </c>
      <c r="G57" s="38" t="s">
        <v>774</v>
      </c>
      <c r="H57" s="38" t="s">
        <v>143</v>
      </c>
      <c r="I57" s="38" t="s">
        <v>145</v>
      </c>
      <c r="J57" s="38" t="s">
        <v>147</v>
      </c>
      <c r="K57" s="38" t="s">
        <v>693</v>
      </c>
      <c r="L57" s="38" t="s">
        <v>775</v>
      </c>
      <c r="M57" s="38" t="s">
        <v>776</v>
      </c>
      <c r="N57" s="38" t="s">
        <v>777</v>
      </c>
      <c r="O57" s="38" t="s">
        <v>159</v>
      </c>
      <c r="P57" s="38"/>
      <c r="Q57" s="38"/>
      <c r="R57" s="38"/>
      <c r="S57" s="41"/>
      <c r="T57" s="41"/>
      <c r="U57" s="42">
        <v>0.0</v>
      </c>
      <c r="V57" s="38" t="s">
        <v>175</v>
      </c>
      <c r="W57" s="38" t="s">
        <v>177</v>
      </c>
      <c r="X57" s="43"/>
    </row>
    <row r="58" ht="48.0" customHeight="1">
      <c r="A58" s="36">
        <v>57.0</v>
      </c>
      <c r="B58" s="38" t="s">
        <v>778</v>
      </c>
      <c r="C58" s="38" t="s">
        <v>129</v>
      </c>
      <c r="D58" s="38" t="s">
        <v>228</v>
      </c>
      <c r="E58" s="38" t="s">
        <v>772</v>
      </c>
      <c r="F58" s="38" t="s">
        <v>779</v>
      </c>
      <c r="G58" s="38" t="s">
        <v>780</v>
      </c>
      <c r="H58" s="38" t="s">
        <v>143</v>
      </c>
      <c r="I58" s="38" t="s">
        <v>145</v>
      </c>
      <c r="J58" s="38" t="s">
        <v>193</v>
      </c>
      <c r="K58" s="38" t="s">
        <v>693</v>
      </c>
      <c r="L58" s="38" t="s">
        <v>757</v>
      </c>
      <c r="M58" s="38" t="s">
        <v>781</v>
      </c>
      <c r="N58" s="38" t="s">
        <v>782</v>
      </c>
      <c r="O58" s="38" t="s">
        <v>159</v>
      </c>
      <c r="P58" s="38"/>
      <c r="Q58" s="38"/>
      <c r="R58" s="38"/>
      <c r="S58" s="41"/>
      <c r="T58" s="41"/>
      <c r="U58" s="42">
        <v>0.0</v>
      </c>
      <c r="V58" s="38" t="s">
        <v>175</v>
      </c>
      <c r="W58" s="38" t="s">
        <v>177</v>
      </c>
      <c r="X58" s="43"/>
    </row>
    <row r="59" ht="48.0" customHeight="1">
      <c r="A59" s="36">
        <v>58.0</v>
      </c>
      <c r="B59" s="38" t="s">
        <v>783</v>
      </c>
      <c r="C59" s="38" t="s">
        <v>129</v>
      </c>
      <c r="D59" s="38" t="s">
        <v>228</v>
      </c>
      <c r="E59" s="38" t="s">
        <v>784</v>
      </c>
      <c r="F59" s="38" t="s">
        <v>785</v>
      </c>
      <c r="G59" s="38" t="s">
        <v>786</v>
      </c>
      <c r="H59" s="38" t="s">
        <v>760</v>
      </c>
      <c r="I59" s="38" t="s">
        <v>248</v>
      </c>
      <c r="J59" s="38" t="s">
        <v>193</v>
      </c>
      <c r="K59" s="38" t="s">
        <v>693</v>
      </c>
      <c r="L59" s="38" t="s">
        <v>718</v>
      </c>
      <c r="M59" s="38" t="s">
        <v>787</v>
      </c>
      <c r="N59" s="38" t="s">
        <v>788</v>
      </c>
      <c r="O59" s="38" t="s">
        <v>159</v>
      </c>
      <c r="P59" s="38"/>
      <c r="Q59" s="38"/>
      <c r="R59" s="38"/>
      <c r="S59" s="41"/>
      <c r="T59" s="41"/>
      <c r="U59" s="42">
        <v>0.0</v>
      </c>
      <c r="V59" s="38" t="s">
        <v>175</v>
      </c>
      <c r="W59" s="38" t="s">
        <v>177</v>
      </c>
      <c r="X59" s="43"/>
    </row>
    <row r="60" ht="48.0" customHeight="1">
      <c r="A60" s="36">
        <v>59.0</v>
      </c>
      <c r="B60" s="38" t="s">
        <v>789</v>
      </c>
      <c r="C60" s="38" t="s">
        <v>129</v>
      </c>
      <c r="D60" s="38" t="s">
        <v>228</v>
      </c>
      <c r="E60" s="38" t="s">
        <v>784</v>
      </c>
      <c r="F60" s="38" t="s">
        <v>790</v>
      </c>
      <c r="G60" s="38" t="s">
        <v>791</v>
      </c>
      <c r="H60" s="38" t="s">
        <v>792</v>
      </c>
      <c r="I60" s="38" t="s">
        <v>248</v>
      </c>
      <c r="J60" s="38" t="s">
        <v>232</v>
      </c>
      <c r="K60" s="38" t="s">
        <v>693</v>
      </c>
      <c r="L60" s="38" t="s">
        <v>732</v>
      </c>
      <c r="M60" s="38" t="s">
        <v>793</v>
      </c>
      <c r="N60" s="38" t="s">
        <v>794</v>
      </c>
      <c r="O60" s="38" t="s">
        <v>159</v>
      </c>
      <c r="P60" s="38"/>
      <c r="Q60" s="38"/>
      <c r="R60" s="38"/>
      <c r="S60" s="41"/>
      <c r="T60" s="41"/>
      <c r="U60" s="42">
        <v>0.0</v>
      </c>
      <c r="V60" s="38" t="s">
        <v>175</v>
      </c>
      <c r="W60" s="38" t="s">
        <v>177</v>
      </c>
      <c r="X60" s="43"/>
    </row>
    <row r="61" ht="48.0" customHeight="1">
      <c r="A61" s="36">
        <v>60.0</v>
      </c>
      <c r="B61" s="38" t="s">
        <v>795</v>
      </c>
      <c r="C61" s="38" t="s">
        <v>129</v>
      </c>
      <c r="D61" s="38" t="s">
        <v>228</v>
      </c>
      <c r="E61" s="38" t="s">
        <v>796</v>
      </c>
      <c r="F61" s="38" t="s">
        <v>797</v>
      </c>
      <c r="G61" s="38" t="s">
        <v>798</v>
      </c>
      <c r="H61" s="38" t="s">
        <v>767</v>
      </c>
      <c r="I61" s="38" t="s">
        <v>145</v>
      </c>
      <c r="J61" s="38" t="s">
        <v>147</v>
      </c>
      <c r="K61" s="38" t="s">
        <v>693</v>
      </c>
      <c r="L61" s="38" t="s">
        <v>799</v>
      </c>
      <c r="M61" s="38" t="s">
        <v>800</v>
      </c>
      <c r="N61" s="38" t="s">
        <v>801</v>
      </c>
      <c r="O61" s="38" t="s">
        <v>159</v>
      </c>
      <c r="P61" s="38"/>
      <c r="Q61" s="38"/>
      <c r="R61" s="38"/>
      <c r="S61" s="41"/>
      <c r="T61" s="41"/>
      <c r="U61" s="42">
        <v>0.0</v>
      </c>
      <c r="V61" s="38" t="s">
        <v>175</v>
      </c>
      <c r="W61" s="38" t="s">
        <v>177</v>
      </c>
      <c r="X61" s="43"/>
    </row>
    <row r="62" ht="48.0" customHeight="1">
      <c r="A62" s="36">
        <v>61.0</v>
      </c>
      <c r="B62" s="38" t="s">
        <v>802</v>
      </c>
      <c r="C62" s="38" t="s">
        <v>129</v>
      </c>
      <c r="D62" s="38" t="s">
        <v>228</v>
      </c>
      <c r="E62" s="38" t="s">
        <v>796</v>
      </c>
      <c r="F62" s="38" t="s">
        <v>803</v>
      </c>
      <c r="G62" s="38" t="s">
        <v>804</v>
      </c>
      <c r="H62" s="38" t="s">
        <v>767</v>
      </c>
      <c r="I62" s="38" t="s">
        <v>145</v>
      </c>
      <c r="J62" s="38" t="s">
        <v>147</v>
      </c>
      <c r="K62" s="38" t="s">
        <v>693</v>
      </c>
      <c r="L62" s="38" t="s">
        <v>805</v>
      </c>
      <c r="M62" s="38" t="s">
        <v>806</v>
      </c>
      <c r="N62" s="38" t="s">
        <v>807</v>
      </c>
      <c r="O62" s="38" t="s">
        <v>159</v>
      </c>
      <c r="P62" s="38"/>
      <c r="Q62" s="38"/>
      <c r="R62" s="38"/>
      <c r="S62" s="41"/>
      <c r="T62" s="41"/>
      <c r="U62" s="42">
        <v>0.0</v>
      </c>
      <c r="V62" s="38" t="s">
        <v>175</v>
      </c>
      <c r="W62" s="38" t="s">
        <v>177</v>
      </c>
      <c r="X62" s="43"/>
    </row>
    <row r="63" ht="48.0" customHeight="1">
      <c r="A63" s="36">
        <v>62.0</v>
      </c>
      <c r="B63" s="38" t="s">
        <v>808</v>
      </c>
      <c r="C63" s="38" t="s">
        <v>129</v>
      </c>
      <c r="D63" s="38" t="s">
        <v>228</v>
      </c>
      <c r="E63" s="38" t="s">
        <v>809</v>
      </c>
      <c r="F63" s="38" t="s">
        <v>810</v>
      </c>
      <c r="G63" s="38" t="s">
        <v>811</v>
      </c>
      <c r="H63" s="38" t="s">
        <v>143</v>
      </c>
      <c r="I63" s="38" t="s">
        <v>248</v>
      </c>
      <c r="J63" s="38" t="s">
        <v>232</v>
      </c>
      <c r="K63" s="38" t="s">
        <v>693</v>
      </c>
      <c r="L63" s="38" t="s">
        <v>688</v>
      </c>
      <c r="M63" s="38" t="s">
        <v>812</v>
      </c>
      <c r="N63" s="38" t="s">
        <v>813</v>
      </c>
      <c r="O63" s="38" t="s">
        <v>159</v>
      </c>
      <c r="P63" s="38"/>
      <c r="Q63" s="38"/>
      <c r="R63" s="38"/>
      <c r="S63" s="41"/>
      <c r="T63" s="41"/>
      <c r="U63" s="42">
        <v>0.0</v>
      </c>
      <c r="V63" s="38" t="s">
        <v>175</v>
      </c>
      <c r="W63" s="38" t="s">
        <v>177</v>
      </c>
      <c r="X63" s="43"/>
    </row>
    <row r="64" ht="48.0" customHeight="1">
      <c r="A64" s="36">
        <v>63.0</v>
      </c>
      <c r="B64" s="38" t="s">
        <v>814</v>
      </c>
      <c r="C64" s="38" t="s">
        <v>129</v>
      </c>
      <c r="D64" s="38" t="s">
        <v>228</v>
      </c>
      <c r="E64" s="38" t="s">
        <v>809</v>
      </c>
      <c r="F64" s="38" t="s">
        <v>815</v>
      </c>
      <c r="G64" s="38" t="s">
        <v>816</v>
      </c>
      <c r="H64" s="38" t="s">
        <v>514</v>
      </c>
      <c r="I64" s="38" t="s">
        <v>248</v>
      </c>
      <c r="J64" s="38" t="s">
        <v>232</v>
      </c>
      <c r="K64" s="38" t="s">
        <v>693</v>
      </c>
      <c r="L64" s="38" t="s">
        <v>817</v>
      </c>
      <c r="M64" s="38" t="s">
        <v>818</v>
      </c>
      <c r="N64" s="38" t="s">
        <v>819</v>
      </c>
      <c r="O64" s="38" t="s">
        <v>159</v>
      </c>
      <c r="P64" s="38"/>
      <c r="Q64" s="38"/>
      <c r="R64" s="38"/>
      <c r="S64" s="41"/>
      <c r="T64" s="41"/>
      <c r="U64" s="42">
        <v>0.0</v>
      </c>
      <c r="V64" s="38" t="s">
        <v>175</v>
      </c>
      <c r="W64" s="38" t="s">
        <v>177</v>
      </c>
      <c r="X64" s="43"/>
    </row>
    <row r="65" ht="48.0" customHeight="1">
      <c r="A65" s="36">
        <v>64.0</v>
      </c>
      <c r="B65" s="38" t="s">
        <v>820</v>
      </c>
      <c r="C65" s="38" t="s">
        <v>321</v>
      </c>
      <c r="D65" s="38" t="s">
        <v>228</v>
      </c>
      <c r="E65" s="38" t="s">
        <v>142</v>
      </c>
      <c r="F65" s="38" t="s">
        <v>821</v>
      </c>
      <c r="G65" s="38" t="s">
        <v>822</v>
      </c>
      <c r="H65" s="38" t="s">
        <v>823</v>
      </c>
      <c r="I65" s="38" t="s">
        <v>824</v>
      </c>
      <c r="J65" s="38" t="s">
        <v>193</v>
      </c>
      <c r="K65" s="38" t="s">
        <v>693</v>
      </c>
      <c r="L65" s="38" t="s">
        <v>825</v>
      </c>
      <c r="M65" s="38" t="s">
        <v>826</v>
      </c>
      <c r="N65" s="38" t="s">
        <v>827</v>
      </c>
      <c r="O65" s="38" t="s">
        <v>159</v>
      </c>
      <c r="P65" s="38"/>
      <c r="Q65" s="38"/>
      <c r="R65" s="38"/>
      <c r="S65" s="41"/>
      <c r="T65" s="41"/>
      <c r="U65" s="42">
        <v>0.0</v>
      </c>
      <c r="V65" s="38" t="s">
        <v>175</v>
      </c>
      <c r="W65" s="38" t="s">
        <v>177</v>
      </c>
      <c r="X65" s="43"/>
    </row>
    <row r="66" ht="48.0" customHeight="1">
      <c r="A66" s="36">
        <v>65.0</v>
      </c>
      <c r="B66" s="38" t="s">
        <v>828</v>
      </c>
      <c r="C66" s="38" t="s">
        <v>321</v>
      </c>
      <c r="D66" s="38" t="s">
        <v>228</v>
      </c>
      <c r="E66" s="38" t="s">
        <v>829</v>
      </c>
      <c r="F66" s="38" t="s">
        <v>830</v>
      </c>
      <c r="G66" s="38" t="s">
        <v>831</v>
      </c>
      <c r="H66" s="38" t="s">
        <v>832</v>
      </c>
      <c r="I66" s="38" t="s">
        <v>824</v>
      </c>
      <c r="J66" s="38" t="s">
        <v>147</v>
      </c>
      <c r="K66" s="38" t="s">
        <v>693</v>
      </c>
      <c r="L66" s="38" t="s">
        <v>833</v>
      </c>
      <c r="M66" s="38" t="s">
        <v>834</v>
      </c>
      <c r="N66" s="38" t="s">
        <v>835</v>
      </c>
      <c r="O66" s="38" t="s">
        <v>159</v>
      </c>
      <c r="P66" s="38"/>
      <c r="Q66" s="38"/>
      <c r="R66" s="38"/>
      <c r="S66" s="41"/>
      <c r="T66" s="41"/>
      <c r="U66" s="42">
        <v>0.0</v>
      </c>
      <c r="V66" s="38" t="s">
        <v>175</v>
      </c>
      <c r="W66" s="38" t="s">
        <v>177</v>
      </c>
      <c r="X66" s="43"/>
    </row>
    <row r="67" ht="48.0" customHeight="1">
      <c r="A67" s="36">
        <v>66.0</v>
      </c>
      <c r="B67" s="38" t="s">
        <v>836</v>
      </c>
      <c r="C67" s="38" t="s">
        <v>321</v>
      </c>
      <c r="D67" s="38" t="s">
        <v>228</v>
      </c>
      <c r="E67" s="38" t="s">
        <v>837</v>
      </c>
      <c r="F67" s="38" t="s">
        <v>838</v>
      </c>
      <c r="G67" s="38" t="s">
        <v>839</v>
      </c>
      <c r="H67" s="38" t="s">
        <v>840</v>
      </c>
      <c r="I67" s="38" t="s">
        <v>248</v>
      </c>
      <c r="J67" s="38" t="s">
        <v>147</v>
      </c>
      <c r="K67" s="38" t="s">
        <v>693</v>
      </c>
      <c r="L67" s="38" t="s">
        <v>841</v>
      </c>
      <c r="M67" s="38" t="s">
        <v>842</v>
      </c>
      <c r="N67" s="38" t="s">
        <v>843</v>
      </c>
      <c r="O67" s="38" t="s">
        <v>159</v>
      </c>
      <c r="P67" s="38"/>
      <c r="Q67" s="38"/>
      <c r="R67" s="38"/>
      <c r="S67" s="41"/>
      <c r="T67" s="41"/>
      <c r="U67" s="42">
        <v>0.0</v>
      </c>
      <c r="V67" s="38" t="s">
        <v>175</v>
      </c>
      <c r="W67" s="38" t="s">
        <v>177</v>
      </c>
      <c r="X67" s="43"/>
    </row>
    <row r="68" ht="48.0" customHeight="1">
      <c r="A68" s="36">
        <v>67.0</v>
      </c>
      <c r="B68" s="38" t="s">
        <v>844</v>
      </c>
      <c r="C68" s="38" t="s">
        <v>321</v>
      </c>
      <c r="D68" s="38" t="s">
        <v>228</v>
      </c>
      <c r="E68" s="38" t="s">
        <v>837</v>
      </c>
      <c r="F68" s="38" t="s">
        <v>845</v>
      </c>
      <c r="G68" s="38" t="s">
        <v>846</v>
      </c>
      <c r="H68" s="38" t="s">
        <v>489</v>
      </c>
      <c r="I68" s="38" t="s">
        <v>145</v>
      </c>
      <c r="J68" s="38" t="s">
        <v>193</v>
      </c>
      <c r="K68" s="38" t="s">
        <v>693</v>
      </c>
      <c r="L68" s="38" t="s">
        <v>847</v>
      </c>
      <c r="M68" s="38" t="s">
        <v>848</v>
      </c>
      <c r="N68" s="38" t="s">
        <v>849</v>
      </c>
      <c r="O68" s="38" t="s">
        <v>159</v>
      </c>
      <c r="P68" s="38"/>
      <c r="Q68" s="38"/>
      <c r="R68" s="38"/>
      <c r="S68" s="41"/>
      <c r="T68" s="41"/>
      <c r="U68" s="42">
        <v>0.0</v>
      </c>
      <c r="V68" s="38" t="s">
        <v>175</v>
      </c>
      <c r="W68" s="38" t="s">
        <v>177</v>
      </c>
      <c r="X68" s="43"/>
    </row>
    <row r="69" ht="48.0" customHeight="1">
      <c r="A69" s="36">
        <v>68.0</v>
      </c>
      <c r="B69" s="38" t="s">
        <v>850</v>
      </c>
      <c r="C69" s="38" t="s">
        <v>129</v>
      </c>
      <c r="D69" s="38" t="s">
        <v>233</v>
      </c>
      <c r="E69" s="38" t="s">
        <v>851</v>
      </c>
      <c r="F69" s="38" t="s">
        <v>852</v>
      </c>
      <c r="G69" s="38" t="s">
        <v>853</v>
      </c>
      <c r="H69" s="38" t="s">
        <v>854</v>
      </c>
      <c r="I69" s="38" t="s">
        <v>248</v>
      </c>
      <c r="J69" s="38" t="s">
        <v>147</v>
      </c>
      <c r="K69" s="38" t="s">
        <v>855</v>
      </c>
      <c r="L69" s="38" t="s">
        <v>856</v>
      </c>
      <c r="M69" s="38" t="s">
        <v>857</v>
      </c>
      <c r="N69" s="38" t="s">
        <v>858</v>
      </c>
      <c r="O69" s="38" t="s">
        <v>159</v>
      </c>
      <c r="P69" s="38"/>
      <c r="Q69" s="38"/>
      <c r="R69" s="38"/>
      <c r="S69" s="41"/>
      <c r="T69" s="41"/>
      <c r="U69" s="42">
        <v>0.0</v>
      </c>
      <c r="V69" s="38" t="s">
        <v>175</v>
      </c>
      <c r="W69" s="38" t="s">
        <v>177</v>
      </c>
      <c r="X69" s="43"/>
    </row>
    <row r="70" ht="48.0" customHeight="1">
      <c r="A70" s="36">
        <v>69.0</v>
      </c>
      <c r="B70" s="38" t="s">
        <v>859</v>
      </c>
      <c r="C70" s="38" t="s">
        <v>129</v>
      </c>
      <c r="D70" s="38" t="s">
        <v>233</v>
      </c>
      <c r="E70" s="38" t="s">
        <v>851</v>
      </c>
      <c r="F70" s="38" t="s">
        <v>860</v>
      </c>
      <c r="G70" s="38" t="s">
        <v>861</v>
      </c>
      <c r="H70" s="38" t="s">
        <v>854</v>
      </c>
      <c r="I70" s="38" t="s">
        <v>248</v>
      </c>
      <c r="J70" s="38" t="s">
        <v>193</v>
      </c>
      <c r="K70" s="38" t="s">
        <v>855</v>
      </c>
      <c r="L70" s="38" t="s">
        <v>850</v>
      </c>
      <c r="M70" s="38" t="s">
        <v>862</v>
      </c>
      <c r="N70" s="38" t="s">
        <v>863</v>
      </c>
      <c r="O70" s="38" t="s">
        <v>159</v>
      </c>
      <c r="P70" s="38"/>
      <c r="Q70" s="38"/>
      <c r="R70" s="38"/>
      <c r="S70" s="41"/>
      <c r="T70" s="41"/>
      <c r="U70" s="42">
        <v>0.0</v>
      </c>
      <c r="V70" s="38" t="s">
        <v>175</v>
      </c>
      <c r="W70" s="38" t="s">
        <v>177</v>
      </c>
      <c r="X70" s="43"/>
    </row>
    <row r="71" ht="48.0" customHeight="1">
      <c r="A71" s="36">
        <v>70.0</v>
      </c>
      <c r="B71" s="38" t="s">
        <v>864</v>
      </c>
      <c r="C71" s="38" t="s">
        <v>129</v>
      </c>
      <c r="D71" s="38" t="s">
        <v>233</v>
      </c>
      <c r="E71" s="38" t="s">
        <v>851</v>
      </c>
      <c r="F71" s="38" t="s">
        <v>865</v>
      </c>
      <c r="G71" s="38" t="s">
        <v>866</v>
      </c>
      <c r="H71" s="38" t="s">
        <v>854</v>
      </c>
      <c r="I71" s="38" t="s">
        <v>248</v>
      </c>
      <c r="J71" s="38" t="s">
        <v>193</v>
      </c>
      <c r="K71" s="38" t="s">
        <v>855</v>
      </c>
      <c r="L71" s="38" t="s">
        <v>850</v>
      </c>
      <c r="M71" s="38" t="s">
        <v>867</v>
      </c>
      <c r="N71" s="38" t="s">
        <v>868</v>
      </c>
      <c r="O71" s="38" t="s">
        <v>159</v>
      </c>
      <c r="P71" s="38"/>
      <c r="Q71" s="38"/>
      <c r="R71" s="38"/>
      <c r="S71" s="41"/>
      <c r="T71" s="41"/>
      <c r="U71" s="42">
        <v>0.0</v>
      </c>
      <c r="V71" s="38" t="s">
        <v>175</v>
      </c>
      <c r="W71" s="38" t="s">
        <v>177</v>
      </c>
      <c r="X71" s="43"/>
    </row>
    <row r="72" ht="48.0" customHeight="1">
      <c r="A72" s="36">
        <v>71.0</v>
      </c>
      <c r="B72" s="38" t="s">
        <v>869</v>
      </c>
      <c r="C72" s="38" t="s">
        <v>129</v>
      </c>
      <c r="D72" s="38" t="s">
        <v>233</v>
      </c>
      <c r="E72" s="38" t="s">
        <v>851</v>
      </c>
      <c r="F72" s="38" t="s">
        <v>870</v>
      </c>
      <c r="G72" s="38" t="s">
        <v>871</v>
      </c>
      <c r="H72" s="38" t="s">
        <v>872</v>
      </c>
      <c r="I72" s="38" t="s">
        <v>248</v>
      </c>
      <c r="J72" s="38" t="s">
        <v>193</v>
      </c>
      <c r="K72" s="38" t="s">
        <v>855</v>
      </c>
      <c r="L72" s="38" t="s">
        <v>850</v>
      </c>
      <c r="M72" s="38" t="s">
        <v>873</v>
      </c>
      <c r="N72" s="38" t="s">
        <v>874</v>
      </c>
      <c r="O72" s="38" t="s">
        <v>159</v>
      </c>
      <c r="P72" s="38"/>
      <c r="Q72" s="38"/>
      <c r="R72" s="38"/>
      <c r="S72" s="41"/>
      <c r="T72" s="41"/>
      <c r="U72" s="42">
        <v>0.0</v>
      </c>
      <c r="V72" s="38" t="s">
        <v>175</v>
      </c>
      <c r="W72" s="38" t="s">
        <v>177</v>
      </c>
      <c r="X72" s="43"/>
    </row>
    <row r="73" ht="48.0" customHeight="1">
      <c r="A73" s="36">
        <v>72.0</v>
      </c>
      <c r="B73" s="38" t="s">
        <v>875</v>
      </c>
      <c r="C73" s="38" t="s">
        <v>129</v>
      </c>
      <c r="D73" s="38" t="s">
        <v>233</v>
      </c>
      <c r="E73" s="38" t="s">
        <v>876</v>
      </c>
      <c r="F73" s="38" t="s">
        <v>877</v>
      </c>
      <c r="G73" s="38" t="s">
        <v>878</v>
      </c>
      <c r="H73" s="38" t="s">
        <v>879</v>
      </c>
      <c r="I73" s="38" t="s">
        <v>145</v>
      </c>
      <c r="J73" s="38" t="s">
        <v>147</v>
      </c>
      <c r="K73" s="38" t="s">
        <v>855</v>
      </c>
      <c r="L73" s="38" t="s">
        <v>880</v>
      </c>
      <c r="M73" s="38" t="s">
        <v>881</v>
      </c>
      <c r="N73" s="38" t="s">
        <v>882</v>
      </c>
      <c r="O73" s="38" t="s">
        <v>159</v>
      </c>
      <c r="P73" s="38"/>
      <c r="Q73" s="38"/>
      <c r="R73" s="38"/>
      <c r="S73" s="41"/>
      <c r="T73" s="41"/>
      <c r="U73" s="42">
        <v>0.0</v>
      </c>
      <c r="V73" s="38" t="s">
        <v>175</v>
      </c>
      <c r="W73" s="38" t="s">
        <v>177</v>
      </c>
      <c r="X73" s="43"/>
    </row>
    <row r="74" ht="48.0" customHeight="1">
      <c r="A74" s="36">
        <v>73.0</v>
      </c>
      <c r="B74" s="38" t="s">
        <v>883</v>
      </c>
      <c r="C74" s="38" t="s">
        <v>129</v>
      </c>
      <c r="D74" s="38" t="s">
        <v>233</v>
      </c>
      <c r="E74" s="38" t="s">
        <v>876</v>
      </c>
      <c r="F74" s="38" t="s">
        <v>884</v>
      </c>
      <c r="G74" s="38" t="s">
        <v>885</v>
      </c>
      <c r="H74" s="38" t="s">
        <v>26</v>
      </c>
      <c r="I74" s="38" t="s">
        <v>248</v>
      </c>
      <c r="J74" s="38" t="s">
        <v>147</v>
      </c>
      <c r="K74" s="38" t="s">
        <v>855</v>
      </c>
      <c r="L74" s="38" t="s">
        <v>875</v>
      </c>
      <c r="M74" s="38" t="s">
        <v>886</v>
      </c>
      <c r="N74" s="38" t="s">
        <v>887</v>
      </c>
      <c r="O74" s="38" t="s">
        <v>159</v>
      </c>
      <c r="P74" s="38"/>
      <c r="Q74" s="38"/>
      <c r="R74" s="38"/>
      <c r="S74" s="41"/>
      <c r="T74" s="41"/>
      <c r="U74" s="42">
        <v>0.0</v>
      </c>
      <c r="V74" s="38" t="s">
        <v>175</v>
      </c>
      <c r="W74" s="38" t="s">
        <v>177</v>
      </c>
      <c r="X74" s="43"/>
    </row>
    <row r="75" ht="48.0" customHeight="1">
      <c r="A75" s="36">
        <v>74.0</v>
      </c>
      <c r="B75" s="38" t="s">
        <v>888</v>
      </c>
      <c r="C75" s="38" t="s">
        <v>129</v>
      </c>
      <c r="D75" s="38" t="s">
        <v>233</v>
      </c>
      <c r="E75" s="38" t="s">
        <v>876</v>
      </c>
      <c r="F75" s="38" t="s">
        <v>889</v>
      </c>
      <c r="G75" s="38" t="s">
        <v>890</v>
      </c>
      <c r="H75" s="38" t="s">
        <v>148</v>
      </c>
      <c r="I75" s="38" t="s">
        <v>145</v>
      </c>
      <c r="J75" s="38" t="s">
        <v>193</v>
      </c>
      <c r="K75" s="38" t="s">
        <v>855</v>
      </c>
      <c r="L75" s="38" t="s">
        <v>875</v>
      </c>
      <c r="M75" s="38" t="s">
        <v>891</v>
      </c>
      <c r="N75" s="38" t="s">
        <v>892</v>
      </c>
      <c r="O75" s="38" t="s">
        <v>159</v>
      </c>
      <c r="P75" s="38"/>
      <c r="Q75" s="38"/>
      <c r="R75" s="38"/>
      <c r="S75" s="41"/>
      <c r="T75" s="41"/>
      <c r="U75" s="42">
        <v>0.0</v>
      </c>
      <c r="V75" s="38" t="s">
        <v>175</v>
      </c>
      <c r="W75" s="38" t="s">
        <v>177</v>
      </c>
      <c r="X75" s="43"/>
    </row>
    <row r="76" ht="48.0" customHeight="1">
      <c r="A76" s="36">
        <v>75.0</v>
      </c>
      <c r="B76" s="38" t="s">
        <v>893</v>
      </c>
      <c r="C76" s="38" t="s">
        <v>129</v>
      </c>
      <c r="D76" s="38" t="s">
        <v>233</v>
      </c>
      <c r="E76" s="38" t="s">
        <v>876</v>
      </c>
      <c r="F76" s="38" t="s">
        <v>894</v>
      </c>
      <c r="G76" s="38" t="s">
        <v>895</v>
      </c>
      <c r="H76" s="38" t="s">
        <v>872</v>
      </c>
      <c r="I76" s="38" t="s">
        <v>248</v>
      </c>
      <c r="J76" s="38" t="s">
        <v>193</v>
      </c>
      <c r="K76" s="38" t="s">
        <v>855</v>
      </c>
      <c r="L76" s="38" t="s">
        <v>896</v>
      </c>
      <c r="M76" s="38" t="s">
        <v>897</v>
      </c>
      <c r="N76" s="38" t="s">
        <v>898</v>
      </c>
      <c r="O76" s="38" t="s">
        <v>159</v>
      </c>
      <c r="P76" s="38"/>
      <c r="Q76" s="38"/>
      <c r="R76" s="38"/>
      <c r="S76" s="41"/>
      <c r="T76" s="41"/>
      <c r="U76" s="42">
        <v>0.0</v>
      </c>
      <c r="V76" s="38" t="s">
        <v>175</v>
      </c>
      <c r="W76" s="38" t="s">
        <v>177</v>
      </c>
      <c r="X76" s="43"/>
    </row>
    <row r="77" ht="48.0" customHeight="1">
      <c r="A77" s="36">
        <v>76.0</v>
      </c>
      <c r="B77" s="38" t="s">
        <v>899</v>
      </c>
      <c r="C77" s="38" t="s">
        <v>129</v>
      </c>
      <c r="D77" s="38" t="s">
        <v>233</v>
      </c>
      <c r="E77" s="38" t="s">
        <v>876</v>
      </c>
      <c r="F77" s="38" t="s">
        <v>900</v>
      </c>
      <c r="G77" s="38" t="s">
        <v>901</v>
      </c>
      <c r="H77" s="38" t="s">
        <v>217</v>
      </c>
      <c r="I77" s="38" t="s">
        <v>248</v>
      </c>
      <c r="J77" s="38" t="s">
        <v>232</v>
      </c>
      <c r="K77" s="38" t="s">
        <v>855</v>
      </c>
      <c r="L77" s="38" t="s">
        <v>893</v>
      </c>
      <c r="M77" s="38" t="s">
        <v>902</v>
      </c>
      <c r="N77" s="38" t="s">
        <v>903</v>
      </c>
      <c r="O77" s="38" t="s">
        <v>159</v>
      </c>
      <c r="P77" s="38"/>
      <c r="Q77" s="38"/>
      <c r="R77" s="38"/>
      <c r="S77" s="41"/>
      <c r="T77" s="41"/>
      <c r="U77" s="42">
        <v>0.0</v>
      </c>
      <c r="V77" s="38" t="s">
        <v>175</v>
      </c>
      <c r="W77" s="38" t="s">
        <v>177</v>
      </c>
      <c r="X77" s="43"/>
    </row>
    <row r="78" ht="48.0" customHeight="1">
      <c r="A78" s="36">
        <v>77.0</v>
      </c>
      <c r="B78" s="38" t="s">
        <v>904</v>
      </c>
      <c r="C78" s="38" t="s">
        <v>129</v>
      </c>
      <c r="D78" s="38" t="s">
        <v>233</v>
      </c>
      <c r="E78" s="38" t="s">
        <v>876</v>
      </c>
      <c r="F78" s="38" t="s">
        <v>905</v>
      </c>
      <c r="G78" s="38" t="s">
        <v>906</v>
      </c>
      <c r="H78" s="38" t="s">
        <v>879</v>
      </c>
      <c r="I78" s="38" t="s">
        <v>248</v>
      </c>
      <c r="J78" s="38" t="s">
        <v>232</v>
      </c>
      <c r="K78" s="38" t="s">
        <v>855</v>
      </c>
      <c r="L78" s="38" t="s">
        <v>850</v>
      </c>
      <c r="M78" s="38" t="s">
        <v>907</v>
      </c>
      <c r="N78" s="38" t="s">
        <v>908</v>
      </c>
      <c r="O78" s="38" t="s">
        <v>159</v>
      </c>
      <c r="P78" s="38"/>
      <c r="Q78" s="38"/>
      <c r="R78" s="38"/>
      <c r="S78" s="41"/>
      <c r="T78" s="41"/>
      <c r="U78" s="42">
        <v>0.0</v>
      </c>
      <c r="V78" s="38" t="s">
        <v>175</v>
      </c>
      <c r="W78" s="38" t="s">
        <v>177</v>
      </c>
      <c r="X78" s="43"/>
    </row>
    <row r="79" ht="48.0" customHeight="1">
      <c r="A79" s="36">
        <v>78.0</v>
      </c>
      <c r="B79" s="38" t="s">
        <v>909</v>
      </c>
      <c r="C79" s="38" t="s">
        <v>321</v>
      </c>
      <c r="D79" s="38" t="s">
        <v>233</v>
      </c>
      <c r="E79" s="38" t="s">
        <v>829</v>
      </c>
      <c r="F79" s="38" t="s">
        <v>910</v>
      </c>
      <c r="G79" s="38" t="s">
        <v>911</v>
      </c>
      <c r="H79" s="38" t="s">
        <v>912</v>
      </c>
      <c r="I79" s="38" t="s">
        <v>824</v>
      </c>
      <c r="J79" s="38" t="s">
        <v>147</v>
      </c>
      <c r="K79" s="38" t="s">
        <v>855</v>
      </c>
      <c r="L79" s="38" t="s">
        <v>833</v>
      </c>
      <c r="M79" s="38" t="s">
        <v>913</v>
      </c>
      <c r="N79" s="38" t="s">
        <v>914</v>
      </c>
      <c r="O79" s="38" t="s">
        <v>159</v>
      </c>
      <c r="P79" s="38"/>
      <c r="Q79" s="38"/>
      <c r="R79" s="38"/>
      <c r="S79" s="41"/>
      <c r="T79" s="41"/>
      <c r="U79" s="42">
        <v>0.0</v>
      </c>
      <c r="V79" s="38" t="s">
        <v>175</v>
      </c>
      <c r="W79" s="38" t="s">
        <v>177</v>
      </c>
      <c r="X79" s="43"/>
    </row>
    <row r="80" ht="48.0" customHeight="1">
      <c r="A80" s="36">
        <v>79.0</v>
      </c>
      <c r="B80" s="38" t="s">
        <v>915</v>
      </c>
      <c r="C80" s="38" t="s">
        <v>321</v>
      </c>
      <c r="D80" s="38" t="s">
        <v>233</v>
      </c>
      <c r="E80" s="38" t="s">
        <v>837</v>
      </c>
      <c r="F80" s="38" t="s">
        <v>916</v>
      </c>
      <c r="G80" s="38" t="s">
        <v>917</v>
      </c>
      <c r="H80" s="38" t="s">
        <v>589</v>
      </c>
      <c r="I80" s="38" t="s">
        <v>248</v>
      </c>
      <c r="J80" s="38" t="s">
        <v>147</v>
      </c>
      <c r="K80" s="38" t="s">
        <v>855</v>
      </c>
      <c r="L80" s="38" t="s">
        <v>918</v>
      </c>
      <c r="M80" s="38" t="s">
        <v>919</v>
      </c>
      <c r="N80" s="38" t="s">
        <v>920</v>
      </c>
      <c r="O80" s="38" t="s">
        <v>159</v>
      </c>
      <c r="P80" s="38"/>
      <c r="Q80" s="38"/>
      <c r="R80" s="38"/>
      <c r="S80" s="41"/>
      <c r="T80" s="41"/>
      <c r="U80" s="42">
        <v>0.0</v>
      </c>
      <c r="V80" s="38" t="s">
        <v>175</v>
      </c>
      <c r="W80" s="38" t="s">
        <v>177</v>
      </c>
      <c r="X80" s="43"/>
    </row>
    <row r="81" ht="48.0" customHeight="1">
      <c r="A81" s="36">
        <v>80.0</v>
      </c>
      <c r="B81" s="38" t="s">
        <v>896</v>
      </c>
      <c r="C81" s="38" t="s">
        <v>129</v>
      </c>
      <c r="D81" s="38" t="s">
        <v>233</v>
      </c>
      <c r="E81" s="38" t="s">
        <v>921</v>
      </c>
      <c r="F81" s="38" t="s">
        <v>922</v>
      </c>
      <c r="G81" s="38" t="s">
        <v>923</v>
      </c>
      <c r="H81" s="38" t="s">
        <v>924</v>
      </c>
      <c r="I81" s="38" t="s">
        <v>248</v>
      </c>
      <c r="J81" s="38" t="s">
        <v>147</v>
      </c>
      <c r="K81" s="38" t="s">
        <v>855</v>
      </c>
      <c r="L81" s="38" t="s">
        <v>925</v>
      </c>
      <c r="M81" s="38" t="s">
        <v>926</v>
      </c>
      <c r="N81" s="38" t="s">
        <v>927</v>
      </c>
      <c r="O81" s="38" t="s">
        <v>159</v>
      </c>
      <c r="P81" s="38"/>
      <c r="Q81" s="38"/>
      <c r="R81" s="38"/>
      <c r="S81" s="41"/>
      <c r="T81" s="41"/>
      <c r="U81" s="42">
        <v>0.0</v>
      </c>
      <c r="V81" s="38" t="s">
        <v>175</v>
      </c>
      <c r="W81" s="38" t="s">
        <v>177</v>
      </c>
      <c r="X81" s="43"/>
    </row>
    <row r="82" ht="48.0" customHeight="1">
      <c r="A82" s="36">
        <v>81.0</v>
      </c>
      <c r="B82" s="38" t="s">
        <v>928</v>
      </c>
      <c r="C82" s="38" t="s">
        <v>129</v>
      </c>
      <c r="D82" s="38" t="s">
        <v>233</v>
      </c>
      <c r="E82" s="38" t="s">
        <v>921</v>
      </c>
      <c r="F82" s="38" t="s">
        <v>929</v>
      </c>
      <c r="G82" s="38" t="s">
        <v>930</v>
      </c>
      <c r="H82" s="38" t="s">
        <v>931</v>
      </c>
      <c r="I82" s="38" t="s">
        <v>248</v>
      </c>
      <c r="J82" s="38" t="s">
        <v>147</v>
      </c>
      <c r="K82" s="38" t="s">
        <v>855</v>
      </c>
      <c r="L82" s="38" t="s">
        <v>896</v>
      </c>
      <c r="M82" s="38" t="s">
        <v>932</v>
      </c>
      <c r="N82" s="38" t="s">
        <v>933</v>
      </c>
      <c r="O82" s="38" t="s">
        <v>159</v>
      </c>
      <c r="P82" s="38"/>
      <c r="Q82" s="38"/>
      <c r="R82" s="38"/>
      <c r="S82" s="41"/>
      <c r="T82" s="41"/>
      <c r="U82" s="42">
        <v>0.0</v>
      </c>
      <c r="V82" s="38" t="s">
        <v>175</v>
      </c>
      <c r="W82" s="38" t="s">
        <v>177</v>
      </c>
      <c r="X82" s="43"/>
    </row>
    <row r="83" ht="48.0" customHeight="1">
      <c r="A83" s="36">
        <v>82.0</v>
      </c>
      <c r="B83" s="38" t="s">
        <v>934</v>
      </c>
      <c r="C83" s="38" t="s">
        <v>129</v>
      </c>
      <c r="D83" s="38" t="s">
        <v>233</v>
      </c>
      <c r="E83" s="38" t="s">
        <v>921</v>
      </c>
      <c r="F83" s="38" t="s">
        <v>935</v>
      </c>
      <c r="G83" s="38" t="s">
        <v>936</v>
      </c>
      <c r="H83" s="38" t="s">
        <v>931</v>
      </c>
      <c r="I83" s="38" t="s">
        <v>248</v>
      </c>
      <c r="J83" s="38" t="s">
        <v>232</v>
      </c>
      <c r="K83" s="38" t="s">
        <v>855</v>
      </c>
      <c r="L83" s="38" t="s">
        <v>896</v>
      </c>
      <c r="M83" s="38" t="s">
        <v>937</v>
      </c>
      <c r="N83" s="38" t="s">
        <v>938</v>
      </c>
      <c r="O83" s="38" t="s">
        <v>159</v>
      </c>
      <c r="P83" s="38"/>
      <c r="Q83" s="38"/>
      <c r="R83" s="38"/>
      <c r="S83" s="41"/>
      <c r="T83" s="41"/>
      <c r="U83" s="42">
        <v>0.0</v>
      </c>
      <c r="V83" s="38" t="s">
        <v>175</v>
      </c>
      <c r="W83" s="38" t="s">
        <v>177</v>
      </c>
      <c r="X83" s="43"/>
    </row>
    <row r="84" ht="48.0" customHeight="1">
      <c r="A84" s="36">
        <v>83.0</v>
      </c>
      <c r="B84" s="38" t="s">
        <v>939</v>
      </c>
      <c r="C84" s="38" t="s">
        <v>129</v>
      </c>
      <c r="D84" s="38" t="s">
        <v>233</v>
      </c>
      <c r="E84" s="38" t="s">
        <v>921</v>
      </c>
      <c r="F84" s="38" t="s">
        <v>940</v>
      </c>
      <c r="G84" s="38" t="s">
        <v>941</v>
      </c>
      <c r="H84" s="38" t="s">
        <v>942</v>
      </c>
      <c r="I84" s="38" t="s">
        <v>248</v>
      </c>
      <c r="J84" s="38" t="s">
        <v>147</v>
      </c>
      <c r="K84" s="38" t="s">
        <v>855</v>
      </c>
      <c r="L84" s="38" t="s">
        <v>943</v>
      </c>
      <c r="M84" s="38" t="s">
        <v>944</v>
      </c>
      <c r="N84" s="38" t="s">
        <v>945</v>
      </c>
      <c r="O84" s="38" t="s">
        <v>159</v>
      </c>
      <c r="P84" s="38"/>
      <c r="Q84" s="38"/>
      <c r="R84" s="38"/>
      <c r="S84" s="41"/>
      <c r="T84" s="41"/>
      <c r="U84" s="42">
        <v>0.0</v>
      </c>
      <c r="V84" s="38" t="s">
        <v>175</v>
      </c>
      <c r="W84" s="38" t="s">
        <v>177</v>
      </c>
      <c r="X84" s="43"/>
    </row>
    <row r="85" ht="48.0" customHeight="1">
      <c r="A85" s="36">
        <v>84.0</v>
      </c>
      <c r="B85" s="38" t="s">
        <v>946</v>
      </c>
      <c r="C85" s="38" t="s">
        <v>129</v>
      </c>
      <c r="D85" s="38" t="s">
        <v>233</v>
      </c>
      <c r="E85" s="38" t="s">
        <v>921</v>
      </c>
      <c r="F85" s="38" t="s">
        <v>947</v>
      </c>
      <c r="G85" s="38" t="s">
        <v>948</v>
      </c>
      <c r="H85" s="38" t="s">
        <v>931</v>
      </c>
      <c r="I85" s="38" t="s">
        <v>248</v>
      </c>
      <c r="J85" s="38" t="s">
        <v>147</v>
      </c>
      <c r="K85" s="38" t="s">
        <v>855</v>
      </c>
      <c r="L85" s="38" t="s">
        <v>670</v>
      </c>
      <c r="M85" s="38" t="s">
        <v>949</v>
      </c>
      <c r="N85" s="38" t="s">
        <v>950</v>
      </c>
      <c r="O85" s="38" t="s">
        <v>159</v>
      </c>
      <c r="P85" s="38"/>
      <c r="Q85" s="38"/>
      <c r="R85" s="38"/>
      <c r="S85" s="41"/>
      <c r="T85" s="41"/>
      <c r="U85" s="42">
        <v>0.0</v>
      </c>
      <c r="V85" s="38" t="s">
        <v>175</v>
      </c>
      <c r="W85" s="38" t="s">
        <v>177</v>
      </c>
      <c r="X85" s="43"/>
    </row>
    <row r="86" ht="48.0" customHeight="1">
      <c r="A86" s="36">
        <v>85.0</v>
      </c>
      <c r="B86" s="38" t="s">
        <v>951</v>
      </c>
      <c r="C86" s="38" t="s">
        <v>129</v>
      </c>
      <c r="D86" s="38" t="s">
        <v>233</v>
      </c>
      <c r="E86" s="38" t="s">
        <v>921</v>
      </c>
      <c r="F86" s="38" t="s">
        <v>952</v>
      </c>
      <c r="G86" s="38" t="s">
        <v>953</v>
      </c>
      <c r="H86" s="38" t="s">
        <v>931</v>
      </c>
      <c r="I86" s="38" t="s">
        <v>248</v>
      </c>
      <c r="J86" s="38" t="s">
        <v>193</v>
      </c>
      <c r="K86" s="38" t="s">
        <v>855</v>
      </c>
      <c r="L86" s="38" t="s">
        <v>954</v>
      </c>
      <c r="M86" s="38" t="s">
        <v>955</v>
      </c>
      <c r="N86" s="38" t="s">
        <v>956</v>
      </c>
      <c r="O86" s="38" t="s">
        <v>159</v>
      </c>
      <c r="P86" s="38"/>
      <c r="Q86" s="38"/>
      <c r="R86" s="38"/>
      <c r="S86" s="41"/>
      <c r="T86" s="41"/>
      <c r="U86" s="42">
        <v>0.0</v>
      </c>
      <c r="V86" s="38" t="s">
        <v>175</v>
      </c>
      <c r="W86" s="38" t="s">
        <v>177</v>
      </c>
      <c r="X86" s="43"/>
    </row>
    <row r="87" ht="48.0" customHeight="1">
      <c r="A87" s="36">
        <v>86.0</v>
      </c>
      <c r="B87" s="38" t="s">
        <v>957</v>
      </c>
      <c r="C87" s="38" t="s">
        <v>129</v>
      </c>
      <c r="D87" s="38" t="s">
        <v>233</v>
      </c>
      <c r="E87" s="38" t="s">
        <v>921</v>
      </c>
      <c r="F87" s="38" t="s">
        <v>958</v>
      </c>
      <c r="G87" s="38" t="s">
        <v>959</v>
      </c>
      <c r="H87" s="38" t="s">
        <v>931</v>
      </c>
      <c r="I87" s="38" t="s">
        <v>248</v>
      </c>
      <c r="J87" s="38" t="s">
        <v>193</v>
      </c>
      <c r="K87" s="38" t="s">
        <v>855</v>
      </c>
      <c r="L87" s="38" t="s">
        <v>896</v>
      </c>
      <c r="M87" s="38" t="s">
        <v>960</v>
      </c>
      <c r="N87" s="38" t="s">
        <v>961</v>
      </c>
      <c r="O87" s="38" t="s">
        <v>159</v>
      </c>
      <c r="P87" s="38"/>
      <c r="Q87" s="38"/>
      <c r="R87" s="38"/>
      <c r="S87" s="41"/>
      <c r="T87" s="41"/>
      <c r="U87" s="42">
        <v>0.0</v>
      </c>
      <c r="V87" s="38" t="s">
        <v>175</v>
      </c>
      <c r="W87" s="38" t="s">
        <v>177</v>
      </c>
      <c r="X87" s="43"/>
    </row>
    <row r="88" ht="48.0" customHeight="1">
      <c r="A88" s="36">
        <v>87.0</v>
      </c>
      <c r="B88" s="38" t="s">
        <v>962</v>
      </c>
      <c r="C88" s="38" t="s">
        <v>129</v>
      </c>
      <c r="D88" s="38" t="s">
        <v>233</v>
      </c>
      <c r="E88" s="38" t="s">
        <v>963</v>
      </c>
      <c r="F88" s="38" t="s">
        <v>964</v>
      </c>
      <c r="G88" s="38" t="s">
        <v>965</v>
      </c>
      <c r="H88" s="38" t="s">
        <v>966</v>
      </c>
      <c r="I88" s="38" t="s">
        <v>145</v>
      </c>
      <c r="J88" s="38" t="s">
        <v>147</v>
      </c>
      <c r="K88" s="38" t="s">
        <v>855</v>
      </c>
      <c r="L88" s="38" t="s">
        <v>967</v>
      </c>
      <c r="M88" s="38" t="s">
        <v>968</v>
      </c>
      <c r="N88" s="38" t="s">
        <v>969</v>
      </c>
      <c r="O88" s="38" t="s">
        <v>159</v>
      </c>
      <c r="P88" s="38"/>
      <c r="Q88" s="38"/>
      <c r="R88" s="38"/>
      <c r="S88" s="41"/>
      <c r="T88" s="41"/>
      <c r="U88" s="42">
        <v>0.0</v>
      </c>
      <c r="V88" s="38" t="s">
        <v>175</v>
      </c>
      <c r="W88" s="38" t="s">
        <v>177</v>
      </c>
      <c r="X88" s="43"/>
    </row>
    <row r="89" ht="48.0" customHeight="1">
      <c r="A89" s="36">
        <v>88.0</v>
      </c>
      <c r="B89" s="38" t="s">
        <v>970</v>
      </c>
      <c r="C89" s="38" t="s">
        <v>129</v>
      </c>
      <c r="D89" s="38" t="s">
        <v>233</v>
      </c>
      <c r="E89" s="38" t="s">
        <v>971</v>
      </c>
      <c r="F89" s="38" t="s">
        <v>972</v>
      </c>
      <c r="G89" s="38" t="s">
        <v>973</v>
      </c>
      <c r="H89" s="38" t="s">
        <v>692</v>
      </c>
      <c r="I89" s="38" t="s">
        <v>145</v>
      </c>
      <c r="J89" s="38" t="s">
        <v>147</v>
      </c>
      <c r="K89" s="38" t="s">
        <v>855</v>
      </c>
      <c r="L89" s="38" t="s">
        <v>957</v>
      </c>
      <c r="M89" s="38" t="s">
        <v>974</v>
      </c>
      <c r="N89" s="38" t="s">
        <v>975</v>
      </c>
      <c r="O89" s="38" t="s">
        <v>159</v>
      </c>
      <c r="P89" s="38"/>
      <c r="Q89" s="38"/>
      <c r="R89" s="38"/>
      <c r="S89" s="41"/>
      <c r="T89" s="41"/>
      <c r="U89" s="42">
        <v>0.0</v>
      </c>
      <c r="V89" s="38" t="s">
        <v>175</v>
      </c>
      <c r="W89" s="38" t="s">
        <v>177</v>
      </c>
      <c r="X89" s="43"/>
    </row>
    <row r="90" ht="48.0" customHeight="1">
      <c r="A90" s="36">
        <v>89.0</v>
      </c>
      <c r="B90" s="38" t="s">
        <v>976</v>
      </c>
      <c r="C90" s="38" t="s">
        <v>129</v>
      </c>
      <c r="D90" s="38" t="s">
        <v>233</v>
      </c>
      <c r="E90" s="38" t="s">
        <v>971</v>
      </c>
      <c r="F90" s="38" t="s">
        <v>977</v>
      </c>
      <c r="G90" s="38" t="s">
        <v>978</v>
      </c>
      <c r="H90" s="38" t="s">
        <v>570</v>
      </c>
      <c r="I90" s="38" t="s">
        <v>248</v>
      </c>
      <c r="J90" s="38" t="s">
        <v>147</v>
      </c>
      <c r="K90" s="38" t="s">
        <v>855</v>
      </c>
      <c r="L90" s="38" t="s">
        <v>979</v>
      </c>
      <c r="M90" s="38" t="s">
        <v>980</v>
      </c>
      <c r="N90" s="38" t="s">
        <v>981</v>
      </c>
      <c r="O90" s="38" t="s">
        <v>159</v>
      </c>
      <c r="P90" s="38"/>
      <c r="Q90" s="38"/>
      <c r="R90" s="38"/>
      <c r="S90" s="41"/>
      <c r="T90" s="41"/>
      <c r="U90" s="42">
        <v>0.0</v>
      </c>
      <c r="V90" s="38" t="s">
        <v>175</v>
      </c>
      <c r="W90" s="38" t="s">
        <v>177</v>
      </c>
      <c r="X90" s="43"/>
    </row>
    <row r="91" ht="48.0" customHeight="1">
      <c r="A91" s="36">
        <v>90.0</v>
      </c>
      <c r="B91" s="38" t="s">
        <v>982</v>
      </c>
      <c r="C91" s="38" t="s">
        <v>129</v>
      </c>
      <c r="D91" s="38" t="s">
        <v>233</v>
      </c>
      <c r="E91" s="38" t="s">
        <v>971</v>
      </c>
      <c r="F91" s="38" t="s">
        <v>983</v>
      </c>
      <c r="G91" s="38" t="s">
        <v>984</v>
      </c>
      <c r="H91" s="38" t="s">
        <v>217</v>
      </c>
      <c r="I91" s="38" t="s">
        <v>248</v>
      </c>
      <c r="J91" s="38" t="s">
        <v>147</v>
      </c>
      <c r="K91" s="38" t="s">
        <v>855</v>
      </c>
      <c r="L91" s="38" t="s">
        <v>970</v>
      </c>
      <c r="M91" s="38" t="s">
        <v>985</v>
      </c>
      <c r="N91" s="38" t="s">
        <v>986</v>
      </c>
      <c r="O91" s="38" t="s">
        <v>159</v>
      </c>
      <c r="P91" s="38"/>
      <c r="Q91" s="38"/>
      <c r="R91" s="38"/>
      <c r="S91" s="41"/>
      <c r="T91" s="41"/>
      <c r="U91" s="42">
        <v>0.0</v>
      </c>
      <c r="V91" s="38" t="s">
        <v>175</v>
      </c>
      <c r="W91" s="38" t="s">
        <v>177</v>
      </c>
      <c r="X91" s="43"/>
    </row>
    <row r="92" ht="48.0" customHeight="1">
      <c r="A92" s="36">
        <v>91.0</v>
      </c>
      <c r="B92" s="38" t="s">
        <v>987</v>
      </c>
      <c r="C92" s="38" t="s">
        <v>129</v>
      </c>
      <c r="D92" s="38" t="s">
        <v>233</v>
      </c>
      <c r="E92" s="38" t="s">
        <v>988</v>
      </c>
      <c r="F92" s="38" t="s">
        <v>989</v>
      </c>
      <c r="G92" s="38" t="s">
        <v>990</v>
      </c>
      <c r="H92" s="38" t="s">
        <v>767</v>
      </c>
      <c r="I92" s="38" t="s">
        <v>145</v>
      </c>
      <c r="J92" s="38" t="s">
        <v>147</v>
      </c>
      <c r="K92" s="38" t="s">
        <v>855</v>
      </c>
      <c r="L92" s="38" t="s">
        <v>991</v>
      </c>
      <c r="M92" s="38" t="s">
        <v>992</v>
      </c>
      <c r="N92" s="38" t="s">
        <v>993</v>
      </c>
      <c r="O92" s="38" t="s">
        <v>159</v>
      </c>
      <c r="P92" s="38"/>
      <c r="Q92" s="38"/>
      <c r="R92" s="38"/>
      <c r="S92" s="41"/>
      <c r="T92" s="41"/>
      <c r="U92" s="42">
        <v>0.0</v>
      </c>
      <c r="V92" s="38" t="s">
        <v>175</v>
      </c>
      <c r="W92" s="38" t="s">
        <v>177</v>
      </c>
      <c r="X92" s="43"/>
    </row>
    <row r="93" ht="48.0" customHeight="1">
      <c r="A93" s="36">
        <v>92.0</v>
      </c>
      <c r="B93" s="38" t="s">
        <v>994</v>
      </c>
      <c r="C93" s="38" t="s">
        <v>129</v>
      </c>
      <c r="D93" s="38" t="s">
        <v>233</v>
      </c>
      <c r="E93" s="38" t="s">
        <v>995</v>
      </c>
      <c r="F93" s="38" t="s">
        <v>996</v>
      </c>
      <c r="G93" s="38" t="s">
        <v>997</v>
      </c>
      <c r="H93" s="38" t="s">
        <v>998</v>
      </c>
      <c r="I93" s="38" t="s">
        <v>145</v>
      </c>
      <c r="J93" s="38" t="s">
        <v>232</v>
      </c>
      <c r="K93" s="38" t="s">
        <v>855</v>
      </c>
      <c r="L93" s="38" t="s">
        <v>970</v>
      </c>
      <c r="M93" s="38" t="s">
        <v>999</v>
      </c>
      <c r="N93" s="38" t="s">
        <v>1000</v>
      </c>
      <c r="O93" s="38" t="s">
        <v>159</v>
      </c>
      <c r="P93" s="38"/>
      <c r="Q93" s="38"/>
      <c r="R93" s="38"/>
      <c r="S93" s="41"/>
      <c r="T93" s="41"/>
      <c r="U93" s="42">
        <v>0.0</v>
      </c>
      <c r="V93" s="38" t="s">
        <v>175</v>
      </c>
      <c r="W93" s="38" t="s">
        <v>177</v>
      </c>
      <c r="X93" s="43"/>
    </row>
    <row r="94" ht="48.0" customHeight="1">
      <c r="A94" s="36">
        <v>93.0</v>
      </c>
      <c r="B94" s="38" t="s">
        <v>1001</v>
      </c>
      <c r="C94" s="38" t="s">
        <v>129</v>
      </c>
      <c r="D94" s="38" t="s">
        <v>233</v>
      </c>
      <c r="E94" s="38" t="s">
        <v>995</v>
      </c>
      <c r="F94" s="38" t="s">
        <v>1002</v>
      </c>
      <c r="G94" s="38" t="s">
        <v>1003</v>
      </c>
      <c r="H94" s="38" t="s">
        <v>998</v>
      </c>
      <c r="I94" s="38" t="s">
        <v>145</v>
      </c>
      <c r="J94" s="38" t="s">
        <v>232</v>
      </c>
      <c r="K94" s="38" t="s">
        <v>855</v>
      </c>
      <c r="L94" s="38" t="s">
        <v>994</v>
      </c>
      <c r="M94" s="38" t="s">
        <v>1004</v>
      </c>
      <c r="N94" s="38" t="s">
        <v>1005</v>
      </c>
      <c r="O94" s="38" t="s">
        <v>159</v>
      </c>
      <c r="P94" s="38"/>
      <c r="Q94" s="38"/>
      <c r="R94" s="38"/>
      <c r="S94" s="41"/>
      <c r="T94" s="41"/>
      <c r="U94" s="42">
        <v>0.0</v>
      </c>
      <c r="V94" s="38" t="s">
        <v>175</v>
      </c>
      <c r="W94" s="38" t="s">
        <v>177</v>
      </c>
      <c r="X94" s="43"/>
    </row>
    <row r="95" ht="48.0" customHeight="1">
      <c r="A95" s="36">
        <v>94.0</v>
      </c>
      <c r="B95" s="38" t="s">
        <v>1006</v>
      </c>
      <c r="C95" s="38" t="s">
        <v>129</v>
      </c>
      <c r="D95" s="38" t="s">
        <v>233</v>
      </c>
      <c r="E95" s="38" t="s">
        <v>1007</v>
      </c>
      <c r="F95" s="38" t="s">
        <v>1008</v>
      </c>
      <c r="G95" s="38" t="s">
        <v>1009</v>
      </c>
      <c r="H95" s="38" t="s">
        <v>998</v>
      </c>
      <c r="I95" s="38" t="s">
        <v>145</v>
      </c>
      <c r="J95" s="38" t="s">
        <v>193</v>
      </c>
      <c r="K95" s="38" t="s">
        <v>855</v>
      </c>
      <c r="L95" s="38" t="s">
        <v>1010</v>
      </c>
      <c r="M95" s="38" t="s">
        <v>1011</v>
      </c>
      <c r="N95" s="38" t="s">
        <v>1012</v>
      </c>
      <c r="O95" s="38" t="s">
        <v>159</v>
      </c>
      <c r="P95" s="38"/>
      <c r="Q95" s="38"/>
      <c r="R95" s="38"/>
      <c r="S95" s="41"/>
      <c r="T95" s="41"/>
      <c r="U95" s="42">
        <v>0.0</v>
      </c>
      <c r="V95" s="38" t="s">
        <v>175</v>
      </c>
      <c r="W95" s="38" t="s">
        <v>177</v>
      </c>
      <c r="X95" s="43"/>
    </row>
    <row r="96" ht="48.0" customHeight="1">
      <c r="A96" s="36">
        <v>95.0</v>
      </c>
      <c r="B96" s="38" t="s">
        <v>1013</v>
      </c>
      <c r="C96" s="38" t="s">
        <v>129</v>
      </c>
      <c r="D96" s="38" t="s">
        <v>233</v>
      </c>
      <c r="E96" s="38" t="s">
        <v>1007</v>
      </c>
      <c r="F96" s="38" t="s">
        <v>1007</v>
      </c>
      <c r="G96" s="38" t="s">
        <v>1014</v>
      </c>
      <c r="H96" s="38" t="s">
        <v>998</v>
      </c>
      <c r="I96" s="38" t="s">
        <v>145</v>
      </c>
      <c r="J96" s="38" t="s">
        <v>147</v>
      </c>
      <c r="K96" s="38" t="s">
        <v>855</v>
      </c>
      <c r="L96" s="38" t="s">
        <v>1006</v>
      </c>
      <c r="M96" s="38" t="s">
        <v>1015</v>
      </c>
      <c r="N96" s="38" t="s">
        <v>1016</v>
      </c>
      <c r="O96" s="38" t="s">
        <v>159</v>
      </c>
      <c r="P96" s="38"/>
      <c r="Q96" s="38"/>
      <c r="R96" s="38"/>
      <c r="S96" s="41"/>
      <c r="T96" s="41"/>
      <c r="U96" s="42">
        <v>0.0</v>
      </c>
      <c r="V96" s="38" t="s">
        <v>175</v>
      </c>
      <c r="W96" s="38" t="s">
        <v>177</v>
      </c>
      <c r="X96" s="43"/>
    </row>
    <row r="97" ht="48.0" customHeight="1">
      <c r="A97" s="36">
        <v>96.0</v>
      </c>
      <c r="B97" s="38" t="s">
        <v>1017</v>
      </c>
      <c r="C97" s="38" t="s">
        <v>129</v>
      </c>
      <c r="D97" s="38" t="s">
        <v>233</v>
      </c>
      <c r="E97" s="38" t="s">
        <v>1007</v>
      </c>
      <c r="F97" s="38" t="s">
        <v>1018</v>
      </c>
      <c r="G97" s="38" t="s">
        <v>1019</v>
      </c>
      <c r="H97" s="38" t="s">
        <v>325</v>
      </c>
      <c r="I97" s="38" t="s">
        <v>327</v>
      </c>
      <c r="J97" s="38" t="s">
        <v>147</v>
      </c>
      <c r="K97" s="38" t="s">
        <v>855</v>
      </c>
      <c r="L97" s="38" t="s">
        <v>1020</v>
      </c>
      <c r="M97" s="38" t="s">
        <v>1021</v>
      </c>
      <c r="N97" s="38" t="s">
        <v>1022</v>
      </c>
      <c r="O97" s="38" t="s">
        <v>159</v>
      </c>
      <c r="P97" s="38"/>
      <c r="Q97" s="38"/>
      <c r="R97" s="38"/>
      <c r="S97" s="41"/>
      <c r="T97" s="41"/>
      <c r="U97" s="42">
        <v>0.0</v>
      </c>
      <c r="V97" s="38" t="s">
        <v>175</v>
      </c>
      <c r="W97" s="38" t="s">
        <v>177</v>
      </c>
      <c r="X97" s="43"/>
    </row>
    <row r="98" ht="48.0" customHeight="1">
      <c r="A98" s="36">
        <v>97.0</v>
      </c>
      <c r="B98" s="38" t="s">
        <v>1023</v>
      </c>
      <c r="C98" s="38" t="s">
        <v>129</v>
      </c>
      <c r="D98" s="38" t="s">
        <v>233</v>
      </c>
      <c r="E98" s="38" t="s">
        <v>1024</v>
      </c>
      <c r="F98" s="38" t="s">
        <v>1025</v>
      </c>
      <c r="G98" s="38" t="s">
        <v>1026</v>
      </c>
      <c r="H98" s="38" t="s">
        <v>998</v>
      </c>
      <c r="I98" s="38" t="s">
        <v>145</v>
      </c>
      <c r="J98" s="38" t="s">
        <v>147</v>
      </c>
      <c r="K98" s="38" t="s">
        <v>855</v>
      </c>
      <c r="L98" s="38" t="s">
        <v>1027</v>
      </c>
      <c r="M98" s="38" t="s">
        <v>1028</v>
      </c>
      <c r="N98" s="38" t="s">
        <v>1029</v>
      </c>
      <c r="O98" s="38" t="s">
        <v>159</v>
      </c>
      <c r="P98" s="38"/>
      <c r="Q98" s="38"/>
      <c r="R98" s="38"/>
      <c r="S98" s="41"/>
      <c r="T98" s="41"/>
      <c r="U98" s="42">
        <v>0.0</v>
      </c>
      <c r="V98" s="38" t="s">
        <v>175</v>
      </c>
      <c r="W98" s="38" t="s">
        <v>177</v>
      </c>
      <c r="X98" s="43"/>
    </row>
    <row r="99" ht="48.0" customHeight="1">
      <c r="A99" s="36">
        <v>98.0</v>
      </c>
      <c r="B99" s="38" t="s">
        <v>1030</v>
      </c>
      <c r="C99" s="38" t="s">
        <v>129</v>
      </c>
      <c r="D99" s="38" t="s">
        <v>233</v>
      </c>
      <c r="E99" s="38" t="s">
        <v>1024</v>
      </c>
      <c r="F99" s="38" t="s">
        <v>1031</v>
      </c>
      <c r="G99" s="38" t="s">
        <v>1032</v>
      </c>
      <c r="H99" s="38" t="s">
        <v>1033</v>
      </c>
      <c r="I99" s="38" t="s">
        <v>248</v>
      </c>
      <c r="J99" s="38" t="s">
        <v>232</v>
      </c>
      <c r="K99" s="38" t="s">
        <v>855</v>
      </c>
      <c r="L99" s="38" t="s">
        <v>1023</v>
      </c>
      <c r="M99" s="38" t="s">
        <v>1034</v>
      </c>
      <c r="N99" s="38" t="s">
        <v>1035</v>
      </c>
      <c r="O99" s="38" t="s">
        <v>159</v>
      </c>
      <c r="P99" s="38"/>
      <c r="Q99" s="38"/>
      <c r="R99" s="38"/>
      <c r="S99" s="41"/>
      <c r="T99" s="41"/>
      <c r="U99" s="42">
        <v>0.0</v>
      </c>
      <c r="V99" s="38" t="s">
        <v>175</v>
      </c>
      <c r="W99" s="38" t="s">
        <v>177</v>
      </c>
      <c r="X99" s="43"/>
    </row>
    <row r="100" ht="48.0" customHeight="1">
      <c r="A100" s="36">
        <v>99.0</v>
      </c>
      <c r="B100" s="38" t="s">
        <v>1036</v>
      </c>
      <c r="C100" s="38" t="s">
        <v>129</v>
      </c>
      <c r="D100" s="38" t="s">
        <v>233</v>
      </c>
      <c r="E100" s="38" t="s">
        <v>1024</v>
      </c>
      <c r="F100" s="38" t="s">
        <v>1037</v>
      </c>
      <c r="G100" s="38" t="s">
        <v>1038</v>
      </c>
      <c r="H100" s="38" t="s">
        <v>1039</v>
      </c>
      <c r="I100" s="38" t="s">
        <v>145</v>
      </c>
      <c r="J100" s="38" t="s">
        <v>193</v>
      </c>
      <c r="K100" s="38" t="s">
        <v>855</v>
      </c>
      <c r="L100" s="38" t="s">
        <v>1040</v>
      </c>
      <c r="M100" s="38" t="s">
        <v>1041</v>
      </c>
      <c r="N100" s="38" t="s">
        <v>1042</v>
      </c>
      <c r="O100" s="38" t="s">
        <v>159</v>
      </c>
      <c r="P100" s="38"/>
      <c r="Q100" s="38"/>
      <c r="R100" s="38"/>
      <c r="S100" s="41"/>
      <c r="T100" s="41"/>
      <c r="U100" s="42">
        <v>0.0</v>
      </c>
      <c r="V100" s="38" t="s">
        <v>175</v>
      </c>
      <c r="W100" s="38" t="s">
        <v>177</v>
      </c>
      <c r="X100" s="43"/>
    </row>
    <row r="101" ht="48.0" customHeight="1">
      <c r="A101" s="36">
        <v>100.0</v>
      </c>
      <c r="B101" s="38" t="s">
        <v>1043</v>
      </c>
      <c r="C101" s="38" t="s">
        <v>129</v>
      </c>
      <c r="D101" s="38" t="s">
        <v>233</v>
      </c>
      <c r="E101" s="38" t="s">
        <v>1044</v>
      </c>
      <c r="F101" s="38" t="s">
        <v>1045</v>
      </c>
      <c r="G101" s="38" t="s">
        <v>1046</v>
      </c>
      <c r="H101" s="38" t="s">
        <v>1047</v>
      </c>
      <c r="I101" s="38" t="s">
        <v>145</v>
      </c>
      <c r="J101" s="38" t="s">
        <v>147</v>
      </c>
      <c r="K101" s="38" t="s">
        <v>855</v>
      </c>
      <c r="L101" s="38" t="s">
        <v>1048</v>
      </c>
      <c r="M101" s="38" t="s">
        <v>1049</v>
      </c>
      <c r="N101" s="38" t="s">
        <v>1050</v>
      </c>
      <c r="O101" s="38" t="s">
        <v>159</v>
      </c>
      <c r="P101" s="38"/>
      <c r="Q101" s="38"/>
      <c r="R101" s="38"/>
      <c r="S101" s="41"/>
      <c r="T101" s="41"/>
      <c r="U101" s="42">
        <v>0.0</v>
      </c>
      <c r="V101" s="38" t="s">
        <v>175</v>
      </c>
      <c r="W101" s="38" t="s">
        <v>177</v>
      </c>
      <c r="X101" s="43"/>
    </row>
    <row r="102" ht="48.0" customHeight="1">
      <c r="A102" s="36">
        <v>101.0</v>
      </c>
      <c r="B102" s="38" t="s">
        <v>1051</v>
      </c>
      <c r="C102" s="38" t="s">
        <v>129</v>
      </c>
      <c r="D102" s="38" t="s">
        <v>233</v>
      </c>
      <c r="E102" s="38" t="s">
        <v>1044</v>
      </c>
      <c r="F102" s="38" t="s">
        <v>1052</v>
      </c>
      <c r="G102" s="38" t="s">
        <v>1053</v>
      </c>
      <c r="H102" s="38" t="s">
        <v>1047</v>
      </c>
      <c r="I102" s="38" t="s">
        <v>248</v>
      </c>
      <c r="J102" s="38" t="s">
        <v>147</v>
      </c>
      <c r="K102" s="38" t="s">
        <v>855</v>
      </c>
      <c r="L102" s="38" t="s">
        <v>1013</v>
      </c>
      <c r="M102" s="38" t="s">
        <v>1054</v>
      </c>
      <c r="N102" s="38" t="s">
        <v>1055</v>
      </c>
      <c r="O102" s="38" t="s">
        <v>159</v>
      </c>
      <c r="P102" s="38"/>
      <c r="Q102" s="38"/>
      <c r="R102" s="38"/>
      <c r="S102" s="41"/>
      <c r="T102" s="41"/>
      <c r="U102" s="42">
        <v>0.0</v>
      </c>
      <c r="V102" s="38" t="s">
        <v>175</v>
      </c>
      <c r="W102" s="38" t="s">
        <v>177</v>
      </c>
      <c r="X102" s="43"/>
    </row>
    <row r="103" ht="48.0" customHeight="1">
      <c r="A103" s="36">
        <v>102.0</v>
      </c>
      <c r="B103" s="38" t="s">
        <v>1056</v>
      </c>
      <c r="C103" s="38" t="s">
        <v>129</v>
      </c>
      <c r="D103" s="38" t="s">
        <v>233</v>
      </c>
      <c r="E103" s="38" t="s">
        <v>1057</v>
      </c>
      <c r="F103" s="38" t="s">
        <v>1058</v>
      </c>
      <c r="G103" s="38" t="s">
        <v>1059</v>
      </c>
      <c r="H103" s="38" t="s">
        <v>1060</v>
      </c>
      <c r="I103" s="38" t="s">
        <v>145</v>
      </c>
      <c r="J103" s="38" t="s">
        <v>147</v>
      </c>
      <c r="K103" s="38" t="s">
        <v>855</v>
      </c>
      <c r="L103" s="38" t="s">
        <v>1051</v>
      </c>
      <c r="M103" s="38" t="s">
        <v>1061</v>
      </c>
      <c r="N103" s="38" t="s">
        <v>1062</v>
      </c>
      <c r="O103" s="38" t="s">
        <v>159</v>
      </c>
      <c r="P103" s="38"/>
      <c r="Q103" s="38"/>
      <c r="R103" s="38"/>
      <c r="S103" s="41"/>
      <c r="T103" s="41"/>
      <c r="U103" s="42">
        <v>0.0</v>
      </c>
      <c r="V103" s="38" t="s">
        <v>175</v>
      </c>
      <c r="W103" s="38" t="s">
        <v>177</v>
      </c>
      <c r="X103" s="43"/>
    </row>
    <row r="104" ht="48.0" customHeight="1">
      <c r="A104" s="36">
        <v>103.0</v>
      </c>
      <c r="B104" s="38" t="s">
        <v>1063</v>
      </c>
      <c r="C104" s="38" t="s">
        <v>129</v>
      </c>
      <c r="D104" s="38" t="s">
        <v>233</v>
      </c>
      <c r="E104" s="38" t="s">
        <v>1057</v>
      </c>
      <c r="F104" s="38" t="s">
        <v>1064</v>
      </c>
      <c r="G104" s="38" t="s">
        <v>1065</v>
      </c>
      <c r="H104" s="38" t="s">
        <v>460</v>
      </c>
      <c r="I104" s="38" t="s">
        <v>145</v>
      </c>
      <c r="J104" s="38" t="s">
        <v>147</v>
      </c>
      <c r="K104" s="38" t="s">
        <v>855</v>
      </c>
      <c r="L104" s="38" t="s">
        <v>1056</v>
      </c>
      <c r="M104" s="38" t="s">
        <v>1066</v>
      </c>
      <c r="N104" s="38" t="s">
        <v>1067</v>
      </c>
      <c r="O104" s="38" t="s">
        <v>159</v>
      </c>
      <c r="P104" s="38"/>
      <c r="Q104" s="38"/>
      <c r="R104" s="38"/>
      <c r="S104" s="41"/>
      <c r="T104" s="41"/>
      <c r="U104" s="42">
        <v>0.0</v>
      </c>
      <c r="V104" s="38" t="s">
        <v>175</v>
      </c>
      <c r="W104" s="38" t="s">
        <v>177</v>
      </c>
      <c r="X104" s="43"/>
    </row>
    <row r="105" ht="48.0" customHeight="1">
      <c r="A105" s="36">
        <v>104.0</v>
      </c>
      <c r="B105" s="38" t="s">
        <v>1068</v>
      </c>
      <c r="C105" s="38" t="s">
        <v>129</v>
      </c>
      <c r="D105" s="38" t="s">
        <v>233</v>
      </c>
      <c r="E105" s="38" t="s">
        <v>1057</v>
      </c>
      <c r="F105" s="38" t="s">
        <v>1069</v>
      </c>
      <c r="G105" s="38" t="s">
        <v>1070</v>
      </c>
      <c r="H105" s="38" t="s">
        <v>1060</v>
      </c>
      <c r="I105" s="38" t="s">
        <v>145</v>
      </c>
      <c r="J105" s="38" t="s">
        <v>147</v>
      </c>
      <c r="K105" s="38" t="s">
        <v>855</v>
      </c>
      <c r="L105" s="38" t="s">
        <v>1063</v>
      </c>
      <c r="M105" s="38" t="s">
        <v>1071</v>
      </c>
      <c r="N105" s="38" t="s">
        <v>1072</v>
      </c>
      <c r="O105" s="38" t="s">
        <v>159</v>
      </c>
      <c r="P105" s="38"/>
      <c r="Q105" s="38"/>
      <c r="R105" s="38"/>
      <c r="S105" s="41"/>
      <c r="T105" s="41"/>
      <c r="U105" s="42">
        <v>0.0</v>
      </c>
      <c r="V105" s="38" t="s">
        <v>175</v>
      </c>
      <c r="W105" s="38" t="s">
        <v>177</v>
      </c>
      <c r="X105" s="43"/>
    </row>
    <row r="106" ht="48.0" customHeight="1">
      <c r="A106" s="36">
        <v>105.0</v>
      </c>
      <c r="B106" s="38" t="s">
        <v>1073</v>
      </c>
      <c r="C106" s="38" t="s">
        <v>129</v>
      </c>
      <c r="D106" s="38" t="s">
        <v>233</v>
      </c>
      <c r="E106" s="38" t="s">
        <v>1057</v>
      </c>
      <c r="F106" s="38" t="s">
        <v>1074</v>
      </c>
      <c r="G106" s="38" t="s">
        <v>1075</v>
      </c>
      <c r="H106" s="38" t="s">
        <v>460</v>
      </c>
      <c r="I106" s="38" t="s">
        <v>145</v>
      </c>
      <c r="J106" s="38" t="s">
        <v>147</v>
      </c>
      <c r="K106" s="38" t="s">
        <v>855</v>
      </c>
      <c r="L106" s="38" t="s">
        <v>1068</v>
      </c>
      <c r="M106" s="38" t="s">
        <v>1076</v>
      </c>
      <c r="N106" s="38" t="s">
        <v>1077</v>
      </c>
      <c r="O106" s="38" t="s">
        <v>159</v>
      </c>
      <c r="P106" s="38"/>
      <c r="Q106" s="38"/>
      <c r="R106" s="38"/>
      <c r="S106" s="41"/>
      <c r="T106" s="41"/>
      <c r="U106" s="42">
        <v>0.0</v>
      </c>
      <c r="V106" s="38" t="s">
        <v>175</v>
      </c>
      <c r="W106" s="38" t="s">
        <v>177</v>
      </c>
      <c r="X106" s="43"/>
    </row>
    <row r="107" ht="48.0" customHeight="1">
      <c r="A107" s="36">
        <v>106.0</v>
      </c>
      <c r="B107" s="38" t="s">
        <v>1078</v>
      </c>
      <c r="C107" s="38" t="s">
        <v>129</v>
      </c>
      <c r="D107" s="38" t="s">
        <v>233</v>
      </c>
      <c r="E107" s="38" t="s">
        <v>1079</v>
      </c>
      <c r="F107" s="38" t="s">
        <v>1080</v>
      </c>
      <c r="G107" s="38" t="s">
        <v>1081</v>
      </c>
      <c r="H107" s="38" t="s">
        <v>1047</v>
      </c>
      <c r="I107" s="38" t="s">
        <v>248</v>
      </c>
      <c r="J107" s="38" t="s">
        <v>147</v>
      </c>
      <c r="K107" s="38" t="s">
        <v>855</v>
      </c>
      <c r="L107" s="38" t="s">
        <v>1082</v>
      </c>
      <c r="M107" s="38" t="s">
        <v>1083</v>
      </c>
      <c r="N107" s="38" t="s">
        <v>1084</v>
      </c>
      <c r="O107" s="38" t="s">
        <v>159</v>
      </c>
      <c r="P107" s="38"/>
      <c r="Q107" s="38"/>
      <c r="R107" s="38"/>
      <c r="S107" s="41"/>
      <c r="T107" s="41"/>
      <c r="U107" s="42">
        <v>0.0</v>
      </c>
      <c r="V107" s="38" t="s">
        <v>175</v>
      </c>
      <c r="W107" s="38" t="s">
        <v>177</v>
      </c>
      <c r="X107" s="43"/>
    </row>
    <row r="108" ht="48.0" customHeight="1">
      <c r="A108" s="36">
        <v>107.0</v>
      </c>
      <c r="B108" s="38" t="s">
        <v>1085</v>
      </c>
      <c r="C108" s="38" t="s">
        <v>129</v>
      </c>
      <c r="D108" s="38" t="s">
        <v>233</v>
      </c>
      <c r="E108" s="38" t="s">
        <v>1079</v>
      </c>
      <c r="F108" s="38" t="s">
        <v>1086</v>
      </c>
      <c r="G108" s="38" t="s">
        <v>1087</v>
      </c>
      <c r="H108" s="38" t="s">
        <v>1047</v>
      </c>
      <c r="I108" s="38" t="s">
        <v>248</v>
      </c>
      <c r="J108" s="38" t="s">
        <v>147</v>
      </c>
      <c r="K108" s="38" t="s">
        <v>855</v>
      </c>
      <c r="L108" s="38" t="s">
        <v>1078</v>
      </c>
      <c r="M108" s="38" t="s">
        <v>1088</v>
      </c>
      <c r="N108" s="38" t="s">
        <v>1089</v>
      </c>
      <c r="O108" s="38" t="s">
        <v>159</v>
      </c>
      <c r="P108" s="38"/>
      <c r="Q108" s="38"/>
      <c r="R108" s="38"/>
      <c r="S108" s="41"/>
      <c r="T108" s="41"/>
      <c r="U108" s="42">
        <v>0.0</v>
      </c>
      <c r="V108" s="38" t="s">
        <v>175</v>
      </c>
      <c r="W108" s="38" t="s">
        <v>177</v>
      </c>
      <c r="X108" s="43"/>
    </row>
    <row r="109" ht="48.0" customHeight="1">
      <c r="A109" s="36">
        <v>108.0</v>
      </c>
      <c r="B109" s="38" t="s">
        <v>1090</v>
      </c>
      <c r="C109" s="38" t="s">
        <v>129</v>
      </c>
      <c r="D109" s="38" t="s">
        <v>233</v>
      </c>
      <c r="E109" s="38" t="s">
        <v>1079</v>
      </c>
      <c r="F109" s="38" t="s">
        <v>1091</v>
      </c>
      <c r="G109" s="38" t="s">
        <v>1092</v>
      </c>
      <c r="H109" s="38" t="s">
        <v>1093</v>
      </c>
      <c r="I109" s="38" t="s">
        <v>248</v>
      </c>
      <c r="J109" s="38" t="s">
        <v>193</v>
      </c>
      <c r="K109" s="38" t="s">
        <v>855</v>
      </c>
      <c r="L109" s="38" t="s">
        <v>1073</v>
      </c>
      <c r="M109" s="38" t="s">
        <v>1094</v>
      </c>
      <c r="N109" s="38" t="s">
        <v>1095</v>
      </c>
      <c r="O109" s="38" t="s">
        <v>159</v>
      </c>
      <c r="P109" s="38"/>
      <c r="Q109" s="38"/>
      <c r="R109" s="38"/>
      <c r="S109" s="41"/>
      <c r="T109" s="41"/>
      <c r="U109" s="42">
        <v>0.0</v>
      </c>
      <c r="V109" s="38" t="s">
        <v>175</v>
      </c>
      <c r="W109" s="38" t="s">
        <v>177</v>
      </c>
      <c r="X109" s="43"/>
    </row>
    <row r="110" ht="48.0" customHeight="1">
      <c r="A110" s="36">
        <v>109.0</v>
      </c>
      <c r="B110" s="38" t="s">
        <v>1096</v>
      </c>
      <c r="C110" s="38" t="s">
        <v>129</v>
      </c>
      <c r="D110" s="38" t="s">
        <v>233</v>
      </c>
      <c r="E110" s="38" t="s">
        <v>1097</v>
      </c>
      <c r="F110" s="38" t="s">
        <v>1098</v>
      </c>
      <c r="G110" s="38" t="s">
        <v>1099</v>
      </c>
      <c r="H110" s="38" t="s">
        <v>1100</v>
      </c>
      <c r="I110" s="38" t="s">
        <v>248</v>
      </c>
      <c r="J110" s="38" t="s">
        <v>193</v>
      </c>
      <c r="K110" s="38" t="s">
        <v>855</v>
      </c>
      <c r="L110" s="38" t="s">
        <v>928</v>
      </c>
      <c r="M110" s="38" t="s">
        <v>1101</v>
      </c>
      <c r="N110" s="38" t="s">
        <v>1102</v>
      </c>
      <c r="O110" s="38" t="s">
        <v>159</v>
      </c>
      <c r="P110" s="38"/>
      <c r="Q110" s="38"/>
      <c r="R110" s="38"/>
      <c r="S110" s="41"/>
      <c r="T110" s="41"/>
      <c r="U110" s="42">
        <v>0.0</v>
      </c>
      <c r="V110" s="38" t="s">
        <v>175</v>
      </c>
      <c r="W110" s="38" t="s">
        <v>177</v>
      </c>
      <c r="X110" s="43"/>
    </row>
    <row r="111" ht="48.0" customHeight="1">
      <c r="A111" s="36">
        <v>110.0</v>
      </c>
      <c r="B111" s="38" t="s">
        <v>1103</v>
      </c>
      <c r="C111" s="38" t="s">
        <v>129</v>
      </c>
      <c r="D111" s="38" t="s">
        <v>233</v>
      </c>
      <c r="E111" s="38" t="s">
        <v>1097</v>
      </c>
      <c r="F111" s="38" t="s">
        <v>1104</v>
      </c>
      <c r="G111" s="38" t="s">
        <v>1105</v>
      </c>
      <c r="H111" s="38" t="s">
        <v>1106</v>
      </c>
      <c r="I111" s="38" t="s">
        <v>248</v>
      </c>
      <c r="J111" s="38" t="s">
        <v>193</v>
      </c>
      <c r="K111" s="38" t="s">
        <v>855</v>
      </c>
      <c r="L111" s="38" t="s">
        <v>946</v>
      </c>
      <c r="M111" s="38" t="s">
        <v>1107</v>
      </c>
      <c r="N111" s="38" t="s">
        <v>1108</v>
      </c>
      <c r="O111" s="38" t="s">
        <v>159</v>
      </c>
      <c r="P111" s="38"/>
      <c r="Q111" s="38"/>
      <c r="R111" s="38"/>
      <c r="S111" s="41"/>
      <c r="T111" s="41"/>
      <c r="U111" s="42">
        <v>0.0</v>
      </c>
      <c r="V111" s="38" t="s">
        <v>175</v>
      </c>
      <c r="W111" s="38" t="s">
        <v>177</v>
      </c>
      <c r="X111" s="43"/>
    </row>
    <row r="112" ht="48.0" customHeight="1">
      <c r="A112" s="36">
        <v>111.0</v>
      </c>
      <c r="B112" s="38" t="s">
        <v>1109</v>
      </c>
      <c r="C112" s="38" t="s">
        <v>129</v>
      </c>
      <c r="D112" s="38" t="s">
        <v>233</v>
      </c>
      <c r="E112" s="38" t="s">
        <v>1097</v>
      </c>
      <c r="F112" s="38" t="s">
        <v>1110</v>
      </c>
      <c r="G112" s="38" t="s">
        <v>1111</v>
      </c>
      <c r="H112" s="38" t="s">
        <v>1106</v>
      </c>
      <c r="I112" s="38" t="s">
        <v>248</v>
      </c>
      <c r="J112" s="38" t="s">
        <v>232</v>
      </c>
      <c r="K112" s="38" t="s">
        <v>855</v>
      </c>
      <c r="L112" s="38" t="s">
        <v>957</v>
      </c>
      <c r="M112" s="38" t="s">
        <v>1112</v>
      </c>
      <c r="N112" s="38" t="s">
        <v>1113</v>
      </c>
      <c r="O112" s="38" t="s">
        <v>159</v>
      </c>
      <c r="P112" s="38"/>
      <c r="Q112" s="38"/>
      <c r="R112" s="38"/>
      <c r="S112" s="41"/>
      <c r="T112" s="41"/>
      <c r="U112" s="42">
        <v>0.0</v>
      </c>
      <c r="V112" s="38" t="s">
        <v>175</v>
      </c>
      <c r="W112" s="38" t="s">
        <v>177</v>
      </c>
      <c r="X112" s="43"/>
    </row>
    <row r="113" ht="48.0" customHeight="1">
      <c r="A113" s="36">
        <v>112.0</v>
      </c>
      <c r="B113" s="38" t="s">
        <v>1114</v>
      </c>
      <c r="C113" s="38" t="s">
        <v>129</v>
      </c>
      <c r="D113" s="38" t="s">
        <v>233</v>
      </c>
      <c r="E113" s="38" t="s">
        <v>1115</v>
      </c>
      <c r="F113" s="38" t="s">
        <v>1116</v>
      </c>
      <c r="G113" s="38" t="s">
        <v>1117</v>
      </c>
      <c r="H113" s="38" t="s">
        <v>1118</v>
      </c>
      <c r="I113" s="38" t="s">
        <v>564</v>
      </c>
      <c r="J113" s="38" t="s">
        <v>147</v>
      </c>
      <c r="K113" s="38" t="s">
        <v>679</v>
      </c>
      <c r="L113" s="38" t="s">
        <v>1119</v>
      </c>
      <c r="M113" s="38" t="s">
        <v>1120</v>
      </c>
      <c r="N113" s="38" t="s">
        <v>1121</v>
      </c>
      <c r="O113" s="38" t="s">
        <v>159</v>
      </c>
      <c r="P113" s="38"/>
      <c r="Q113" s="38"/>
      <c r="R113" s="38"/>
      <c r="S113" s="41"/>
      <c r="T113" s="41"/>
      <c r="U113" s="42">
        <v>0.0</v>
      </c>
      <c r="V113" s="38" t="s">
        <v>175</v>
      </c>
      <c r="W113" s="38" t="s">
        <v>177</v>
      </c>
      <c r="X113" s="43"/>
    </row>
    <row r="114" ht="48.0" customHeight="1">
      <c r="A114" s="36">
        <v>113.0</v>
      </c>
      <c r="B114" s="38" t="s">
        <v>1122</v>
      </c>
      <c r="C114" s="38" t="s">
        <v>129</v>
      </c>
      <c r="D114" s="38" t="s">
        <v>233</v>
      </c>
      <c r="E114" s="38" t="s">
        <v>10</v>
      </c>
      <c r="F114" s="38" t="s">
        <v>1123</v>
      </c>
      <c r="G114" s="38" t="s">
        <v>1124</v>
      </c>
      <c r="H114" s="38" t="s">
        <v>514</v>
      </c>
      <c r="I114" s="38" t="s">
        <v>248</v>
      </c>
      <c r="J114" s="38" t="s">
        <v>193</v>
      </c>
      <c r="K114" s="38" t="s">
        <v>855</v>
      </c>
      <c r="L114" s="38" t="s">
        <v>1125</v>
      </c>
      <c r="M114" s="38" t="s">
        <v>1126</v>
      </c>
      <c r="N114" s="38" t="s">
        <v>1127</v>
      </c>
      <c r="O114" s="38" t="s">
        <v>159</v>
      </c>
      <c r="P114" s="38"/>
      <c r="Q114" s="38"/>
      <c r="R114" s="38"/>
      <c r="S114" s="41"/>
      <c r="T114" s="41"/>
      <c r="U114" s="42">
        <v>0.0</v>
      </c>
      <c r="V114" s="38" t="s">
        <v>175</v>
      </c>
      <c r="W114" s="38" t="s">
        <v>177</v>
      </c>
      <c r="X114" s="43"/>
    </row>
    <row r="115" ht="48.0" customHeight="1">
      <c r="A115" s="36">
        <v>114.0</v>
      </c>
      <c r="B115" s="38" t="s">
        <v>1128</v>
      </c>
      <c r="C115" s="38" t="s">
        <v>129</v>
      </c>
      <c r="D115" s="38" t="s">
        <v>233</v>
      </c>
      <c r="E115" s="38" t="s">
        <v>10</v>
      </c>
      <c r="F115" s="38" t="s">
        <v>1129</v>
      </c>
      <c r="G115" s="38" t="s">
        <v>1130</v>
      </c>
      <c r="H115" s="38" t="s">
        <v>1047</v>
      </c>
      <c r="I115" s="38" t="s">
        <v>248</v>
      </c>
      <c r="J115" s="38" t="s">
        <v>232</v>
      </c>
      <c r="K115" s="38" t="s">
        <v>855</v>
      </c>
      <c r="L115" s="38" t="s">
        <v>1122</v>
      </c>
      <c r="M115" s="38" t="s">
        <v>1131</v>
      </c>
      <c r="N115" s="38" t="s">
        <v>1132</v>
      </c>
      <c r="O115" s="38" t="s">
        <v>159</v>
      </c>
      <c r="P115" s="38"/>
      <c r="Q115" s="38"/>
      <c r="R115" s="38"/>
      <c r="S115" s="41"/>
      <c r="T115" s="41"/>
      <c r="U115" s="42">
        <v>0.0</v>
      </c>
      <c r="V115" s="38" t="s">
        <v>175</v>
      </c>
      <c r="W115" s="38" t="s">
        <v>177</v>
      </c>
      <c r="X115" s="43"/>
    </row>
    <row r="116" ht="48.0" customHeight="1">
      <c r="A116" s="36">
        <v>115.0</v>
      </c>
      <c r="B116" s="38" t="s">
        <v>1133</v>
      </c>
      <c r="C116" s="38" t="s">
        <v>321</v>
      </c>
      <c r="D116" s="38" t="s">
        <v>233</v>
      </c>
      <c r="E116" s="38" t="s">
        <v>1134</v>
      </c>
      <c r="F116" s="38" t="s">
        <v>1135</v>
      </c>
      <c r="G116" s="38" t="s">
        <v>1136</v>
      </c>
      <c r="H116" s="38" t="s">
        <v>1137</v>
      </c>
      <c r="I116" s="38" t="s">
        <v>1138</v>
      </c>
      <c r="J116" s="38" t="s">
        <v>147</v>
      </c>
      <c r="K116" s="38" t="s">
        <v>855</v>
      </c>
      <c r="L116" s="38" t="s">
        <v>1139</v>
      </c>
      <c r="M116" s="38" t="s">
        <v>1140</v>
      </c>
      <c r="N116" s="38" t="s">
        <v>1141</v>
      </c>
      <c r="O116" s="38" t="s">
        <v>159</v>
      </c>
      <c r="P116" s="38"/>
      <c r="Q116" s="38"/>
      <c r="R116" s="38"/>
      <c r="S116" s="41"/>
      <c r="T116" s="41"/>
      <c r="U116" s="42">
        <v>0.0</v>
      </c>
      <c r="V116" s="38" t="s">
        <v>175</v>
      </c>
      <c r="W116" s="38" t="s">
        <v>177</v>
      </c>
      <c r="X116" s="43"/>
    </row>
    <row r="117" ht="48.0" customHeight="1">
      <c r="A117" s="36">
        <v>116.0</v>
      </c>
      <c r="B117" s="38" t="s">
        <v>1142</v>
      </c>
      <c r="C117" s="38" t="s">
        <v>321</v>
      </c>
      <c r="D117" s="38" t="s">
        <v>233</v>
      </c>
      <c r="E117" s="38" t="s">
        <v>837</v>
      </c>
      <c r="F117" s="38" t="s">
        <v>1143</v>
      </c>
      <c r="G117" s="38" t="s">
        <v>1144</v>
      </c>
      <c r="H117" s="38" t="s">
        <v>489</v>
      </c>
      <c r="I117" s="38" t="s">
        <v>685</v>
      </c>
      <c r="J117" s="38" t="s">
        <v>147</v>
      </c>
      <c r="K117" s="38" t="s">
        <v>855</v>
      </c>
      <c r="L117" s="38" t="s">
        <v>1145</v>
      </c>
      <c r="M117" s="38" t="s">
        <v>1146</v>
      </c>
      <c r="N117" s="38" t="s">
        <v>1147</v>
      </c>
      <c r="O117" s="38" t="s">
        <v>159</v>
      </c>
      <c r="P117" s="38"/>
      <c r="Q117" s="38"/>
      <c r="R117" s="38"/>
      <c r="S117" s="41"/>
      <c r="T117" s="41"/>
      <c r="U117" s="42">
        <v>0.0</v>
      </c>
      <c r="V117" s="38" t="s">
        <v>175</v>
      </c>
      <c r="W117" s="38" t="s">
        <v>177</v>
      </c>
      <c r="X117" s="43"/>
    </row>
    <row r="118" ht="48.0" customHeight="1">
      <c r="A118" s="36">
        <v>117.0</v>
      </c>
      <c r="B118" s="38" t="s">
        <v>1148</v>
      </c>
      <c r="C118" s="38" t="s">
        <v>321</v>
      </c>
      <c r="D118" s="38" t="s">
        <v>233</v>
      </c>
      <c r="E118" s="38" t="s">
        <v>837</v>
      </c>
      <c r="F118" s="38" t="s">
        <v>1149</v>
      </c>
      <c r="G118" s="38" t="s">
        <v>1150</v>
      </c>
      <c r="H118" s="38" t="s">
        <v>840</v>
      </c>
      <c r="I118" s="38" t="s">
        <v>145</v>
      </c>
      <c r="J118" s="38" t="s">
        <v>147</v>
      </c>
      <c r="K118" s="38" t="s">
        <v>855</v>
      </c>
      <c r="L118" s="38" t="s">
        <v>1151</v>
      </c>
      <c r="M118" s="38" t="s">
        <v>1152</v>
      </c>
      <c r="N118" s="38" t="s">
        <v>1153</v>
      </c>
      <c r="O118" s="38" t="s">
        <v>159</v>
      </c>
      <c r="P118" s="38"/>
      <c r="Q118" s="38"/>
      <c r="R118" s="38"/>
      <c r="S118" s="41"/>
      <c r="T118" s="41"/>
      <c r="U118" s="42">
        <v>0.0</v>
      </c>
      <c r="V118" s="38" t="s">
        <v>175</v>
      </c>
      <c r="W118" s="38" t="s">
        <v>177</v>
      </c>
      <c r="X118" s="43"/>
    </row>
    <row r="119" ht="48.0" customHeight="1">
      <c r="A119" s="36">
        <v>118.0</v>
      </c>
      <c r="B119" s="38" t="s">
        <v>1154</v>
      </c>
      <c r="C119" s="38" t="s">
        <v>129</v>
      </c>
      <c r="D119" s="38" t="s">
        <v>241</v>
      </c>
      <c r="E119" s="38" t="s">
        <v>1155</v>
      </c>
      <c r="F119" s="38" t="s">
        <v>1156</v>
      </c>
      <c r="G119" s="38" t="s">
        <v>1157</v>
      </c>
      <c r="H119" s="38" t="s">
        <v>380</v>
      </c>
      <c r="I119" s="38" t="s">
        <v>248</v>
      </c>
      <c r="J119" s="38" t="s">
        <v>147</v>
      </c>
      <c r="K119" s="38" t="s">
        <v>1158</v>
      </c>
      <c r="L119" s="38" t="s">
        <v>665</v>
      </c>
      <c r="M119" s="38" t="s">
        <v>1159</v>
      </c>
      <c r="N119" s="38" t="s">
        <v>1160</v>
      </c>
      <c r="O119" s="38" t="s">
        <v>159</v>
      </c>
      <c r="P119" s="38"/>
      <c r="Q119" s="38"/>
      <c r="R119" s="38"/>
      <c r="S119" s="41"/>
      <c r="T119" s="41"/>
      <c r="U119" s="42">
        <v>0.0</v>
      </c>
      <c r="V119" s="38" t="s">
        <v>175</v>
      </c>
      <c r="W119" s="38" t="s">
        <v>177</v>
      </c>
      <c r="X119" s="43"/>
    </row>
    <row r="120" ht="48.0" customHeight="1">
      <c r="A120" s="36">
        <v>119.0</v>
      </c>
      <c r="B120" s="38" t="s">
        <v>1161</v>
      </c>
      <c r="C120" s="38" t="s">
        <v>129</v>
      </c>
      <c r="D120" s="38" t="s">
        <v>241</v>
      </c>
      <c r="E120" s="38" t="s">
        <v>1155</v>
      </c>
      <c r="F120" s="38" t="s">
        <v>1162</v>
      </c>
      <c r="G120" s="38" t="s">
        <v>1163</v>
      </c>
      <c r="H120" s="38" t="s">
        <v>380</v>
      </c>
      <c r="I120" s="38" t="s">
        <v>248</v>
      </c>
      <c r="J120" s="38" t="s">
        <v>147</v>
      </c>
      <c r="K120" s="38" t="s">
        <v>1158</v>
      </c>
      <c r="L120" s="38" t="s">
        <v>1164</v>
      </c>
      <c r="M120" s="38" t="s">
        <v>554</v>
      </c>
      <c r="N120" s="38" t="s">
        <v>555</v>
      </c>
      <c r="O120" s="38" t="s">
        <v>159</v>
      </c>
      <c r="P120" s="38"/>
      <c r="Q120" s="38"/>
      <c r="R120" s="38"/>
      <c r="S120" s="41"/>
      <c r="T120" s="41"/>
      <c r="U120" s="42">
        <v>0.0</v>
      </c>
      <c r="V120" s="38" t="s">
        <v>175</v>
      </c>
      <c r="W120" s="38" t="s">
        <v>177</v>
      </c>
      <c r="X120" s="43"/>
    </row>
    <row r="121" ht="48.0" customHeight="1">
      <c r="A121" s="36">
        <v>120.0</v>
      </c>
      <c r="B121" s="38" t="s">
        <v>1165</v>
      </c>
      <c r="C121" s="38" t="s">
        <v>129</v>
      </c>
      <c r="D121" s="38" t="s">
        <v>241</v>
      </c>
      <c r="E121" s="38" t="s">
        <v>260</v>
      </c>
      <c r="F121" s="38" t="s">
        <v>1166</v>
      </c>
      <c r="G121" s="38" t="s">
        <v>1167</v>
      </c>
      <c r="H121" s="38" t="s">
        <v>1168</v>
      </c>
      <c r="I121" s="38" t="s">
        <v>248</v>
      </c>
      <c r="J121" s="38" t="s">
        <v>147</v>
      </c>
      <c r="K121" s="38" t="s">
        <v>1158</v>
      </c>
      <c r="L121" s="38" t="s">
        <v>1169</v>
      </c>
      <c r="M121" s="38" t="s">
        <v>1170</v>
      </c>
      <c r="N121" s="38" t="s">
        <v>1171</v>
      </c>
      <c r="O121" s="38" t="s">
        <v>159</v>
      </c>
      <c r="P121" s="38"/>
      <c r="Q121" s="38"/>
      <c r="R121" s="38"/>
      <c r="S121" s="41"/>
      <c r="T121" s="41"/>
      <c r="U121" s="42">
        <v>0.0</v>
      </c>
      <c r="V121" s="38" t="s">
        <v>175</v>
      </c>
      <c r="W121" s="38" t="s">
        <v>177</v>
      </c>
      <c r="X121" s="43"/>
    </row>
    <row r="122" ht="48.0" customHeight="1">
      <c r="A122" s="36">
        <v>121.0</v>
      </c>
      <c r="B122" s="38" t="s">
        <v>1172</v>
      </c>
      <c r="C122" s="38" t="s">
        <v>129</v>
      </c>
      <c r="D122" s="38" t="s">
        <v>241</v>
      </c>
      <c r="E122" s="38" t="s">
        <v>260</v>
      </c>
      <c r="F122" s="38" t="s">
        <v>1173</v>
      </c>
      <c r="G122" s="38" t="s">
        <v>1174</v>
      </c>
      <c r="H122" s="38" t="s">
        <v>1168</v>
      </c>
      <c r="I122" s="38" t="s">
        <v>248</v>
      </c>
      <c r="J122" s="38" t="s">
        <v>193</v>
      </c>
      <c r="K122" s="38" t="s">
        <v>1158</v>
      </c>
      <c r="L122" s="38" t="s">
        <v>1165</v>
      </c>
      <c r="M122" s="38" t="s">
        <v>1175</v>
      </c>
      <c r="N122" s="38" t="s">
        <v>1176</v>
      </c>
      <c r="O122" s="38" t="s">
        <v>159</v>
      </c>
      <c r="P122" s="38"/>
      <c r="Q122" s="38"/>
      <c r="R122" s="38"/>
      <c r="S122" s="41"/>
      <c r="T122" s="41"/>
      <c r="U122" s="42">
        <v>0.0</v>
      </c>
      <c r="V122" s="38" t="s">
        <v>175</v>
      </c>
      <c r="W122" s="38" t="s">
        <v>177</v>
      </c>
      <c r="X122" s="43"/>
    </row>
    <row r="123" ht="48.0" customHeight="1">
      <c r="A123" s="36">
        <v>122.0</v>
      </c>
      <c r="B123" s="38" t="s">
        <v>1177</v>
      </c>
      <c r="C123" s="38" t="s">
        <v>129</v>
      </c>
      <c r="D123" s="38" t="s">
        <v>241</v>
      </c>
      <c r="E123" s="38" t="s">
        <v>260</v>
      </c>
      <c r="F123" s="38" t="s">
        <v>1178</v>
      </c>
      <c r="G123" s="38" t="s">
        <v>1179</v>
      </c>
      <c r="H123" s="38" t="s">
        <v>1168</v>
      </c>
      <c r="I123" s="38" t="s">
        <v>248</v>
      </c>
      <c r="J123" s="38" t="s">
        <v>193</v>
      </c>
      <c r="K123" s="38" t="s">
        <v>1158</v>
      </c>
      <c r="L123" s="38" t="s">
        <v>1172</v>
      </c>
      <c r="M123" s="38" t="s">
        <v>1180</v>
      </c>
      <c r="N123" s="38" t="s">
        <v>531</v>
      </c>
      <c r="O123" s="38" t="s">
        <v>159</v>
      </c>
      <c r="P123" s="38"/>
      <c r="Q123" s="38"/>
      <c r="R123" s="38"/>
      <c r="S123" s="41"/>
      <c r="T123" s="41"/>
      <c r="U123" s="42">
        <v>0.0</v>
      </c>
      <c r="V123" s="38" t="s">
        <v>175</v>
      </c>
      <c r="W123" s="38" t="s">
        <v>177</v>
      </c>
      <c r="X123" s="43"/>
    </row>
    <row r="124" ht="48.0" customHeight="1">
      <c r="A124" s="36">
        <v>123.0</v>
      </c>
      <c r="B124" s="38" t="s">
        <v>1181</v>
      </c>
      <c r="C124" s="38" t="s">
        <v>129</v>
      </c>
      <c r="D124" s="38" t="s">
        <v>241</v>
      </c>
      <c r="E124" s="38" t="s">
        <v>260</v>
      </c>
      <c r="F124" s="38" t="s">
        <v>1182</v>
      </c>
      <c r="G124" s="38" t="s">
        <v>1183</v>
      </c>
      <c r="H124" s="38" t="s">
        <v>1184</v>
      </c>
      <c r="I124" s="38" t="s">
        <v>248</v>
      </c>
      <c r="J124" s="38" t="s">
        <v>232</v>
      </c>
      <c r="K124" s="38" t="s">
        <v>1158</v>
      </c>
      <c r="L124" s="38" t="s">
        <v>1172</v>
      </c>
      <c r="M124" s="38" t="s">
        <v>1185</v>
      </c>
      <c r="N124" s="38" t="s">
        <v>1186</v>
      </c>
      <c r="O124" s="38" t="s">
        <v>159</v>
      </c>
      <c r="P124" s="38"/>
      <c r="Q124" s="38"/>
      <c r="R124" s="38"/>
      <c r="S124" s="41"/>
      <c r="T124" s="41"/>
      <c r="U124" s="42">
        <v>0.0</v>
      </c>
      <c r="V124" s="38" t="s">
        <v>175</v>
      </c>
      <c r="W124" s="38" t="s">
        <v>177</v>
      </c>
      <c r="X124" s="43"/>
    </row>
    <row r="125" ht="48.0" customHeight="1">
      <c r="A125" s="36">
        <v>124.0</v>
      </c>
      <c r="B125" s="38" t="s">
        <v>1187</v>
      </c>
      <c r="C125" s="38" t="s">
        <v>321</v>
      </c>
      <c r="D125" s="38" t="s">
        <v>241</v>
      </c>
      <c r="E125" s="38" t="s">
        <v>829</v>
      </c>
      <c r="F125" s="38" t="s">
        <v>1188</v>
      </c>
      <c r="G125" s="38" t="s">
        <v>1189</v>
      </c>
      <c r="H125" s="38" t="s">
        <v>1190</v>
      </c>
      <c r="I125" s="38" t="s">
        <v>824</v>
      </c>
      <c r="J125" s="38" t="s">
        <v>147</v>
      </c>
      <c r="K125" s="38" t="s">
        <v>1158</v>
      </c>
      <c r="L125" s="38" t="s">
        <v>1191</v>
      </c>
      <c r="M125" s="38" t="s">
        <v>1192</v>
      </c>
      <c r="N125" s="38" t="s">
        <v>1193</v>
      </c>
      <c r="O125" s="38" t="s">
        <v>159</v>
      </c>
      <c r="P125" s="38"/>
      <c r="Q125" s="38"/>
      <c r="R125" s="38"/>
      <c r="S125" s="41"/>
      <c r="T125" s="41"/>
      <c r="U125" s="42">
        <v>0.0</v>
      </c>
      <c r="V125" s="38" t="s">
        <v>175</v>
      </c>
      <c r="W125" s="38" t="s">
        <v>177</v>
      </c>
      <c r="X125" s="43"/>
    </row>
    <row r="126" ht="48.0" customHeight="1">
      <c r="A126" s="36">
        <v>125.0</v>
      </c>
      <c r="B126" s="38" t="s">
        <v>1194</v>
      </c>
      <c r="C126" s="38" t="s">
        <v>129</v>
      </c>
      <c r="D126" s="38" t="s">
        <v>241</v>
      </c>
      <c r="E126" s="38" t="s">
        <v>6</v>
      </c>
      <c r="F126" s="38" t="s">
        <v>1195</v>
      </c>
      <c r="G126" s="38" t="s">
        <v>1196</v>
      </c>
      <c r="H126" s="38" t="s">
        <v>117</v>
      </c>
      <c r="I126" s="38" t="s">
        <v>248</v>
      </c>
      <c r="J126" s="38" t="s">
        <v>147</v>
      </c>
      <c r="K126" s="38" t="s">
        <v>1158</v>
      </c>
      <c r="L126" s="38" t="s">
        <v>1197</v>
      </c>
      <c r="M126" s="38" t="s">
        <v>1198</v>
      </c>
      <c r="N126" s="38" t="s">
        <v>1199</v>
      </c>
      <c r="O126" s="38" t="s">
        <v>159</v>
      </c>
      <c r="P126" s="38"/>
      <c r="Q126" s="38"/>
      <c r="R126" s="38"/>
      <c r="S126" s="41"/>
      <c r="T126" s="41"/>
      <c r="U126" s="42">
        <v>0.0</v>
      </c>
      <c r="V126" s="38" t="s">
        <v>175</v>
      </c>
      <c r="W126" s="38" t="s">
        <v>177</v>
      </c>
      <c r="X126" s="43"/>
    </row>
    <row r="127" ht="48.0" customHeight="1">
      <c r="A127" s="36">
        <v>126.0</v>
      </c>
      <c r="B127" s="38" t="s">
        <v>1200</v>
      </c>
      <c r="C127" s="38" t="s">
        <v>129</v>
      </c>
      <c r="D127" s="38" t="s">
        <v>241</v>
      </c>
      <c r="E127" s="38" t="s">
        <v>6</v>
      </c>
      <c r="F127" s="38" t="s">
        <v>1201</v>
      </c>
      <c r="G127" s="38" t="s">
        <v>1202</v>
      </c>
      <c r="H127" s="38" t="s">
        <v>117</v>
      </c>
      <c r="I127" s="38" t="s">
        <v>248</v>
      </c>
      <c r="J127" s="38" t="s">
        <v>147</v>
      </c>
      <c r="K127" s="38" t="s">
        <v>1158</v>
      </c>
      <c r="L127" s="38" t="s">
        <v>1194</v>
      </c>
      <c r="M127" s="38" t="s">
        <v>1203</v>
      </c>
      <c r="N127" s="38" t="s">
        <v>1204</v>
      </c>
      <c r="O127" s="38" t="s">
        <v>159</v>
      </c>
      <c r="P127" s="38"/>
      <c r="Q127" s="38"/>
      <c r="R127" s="38"/>
      <c r="S127" s="41"/>
      <c r="T127" s="41"/>
      <c r="U127" s="42">
        <v>0.0</v>
      </c>
      <c r="V127" s="38" t="s">
        <v>175</v>
      </c>
      <c r="W127" s="38" t="s">
        <v>177</v>
      </c>
      <c r="X127" s="43"/>
    </row>
    <row r="128" ht="48.0" customHeight="1">
      <c r="A128" s="36">
        <v>127.0</v>
      </c>
      <c r="B128" s="38" t="s">
        <v>1205</v>
      </c>
      <c r="C128" s="38" t="s">
        <v>129</v>
      </c>
      <c r="D128" s="38" t="s">
        <v>241</v>
      </c>
      <c r="E128" s="38" t="s">
        <v>6</v>
      </c>
      <c r="F128" s="38" t="s">
        <v>1206</v>
      </c>
      <c r="G128" s="38" t="s">
        <v>1207</v>
      </c>
      <c r="H128" s="38" t="s">
        <v>325</v>
      </c>
      <c r="I128" s="38" t="s">
        <v>327</v>
      </c>
      <c r="J128" s="38" t="s">
        <v>147</v>
      </c>
      <c r="K128" s="38" t="s">
        <v>1158</v>
      </c>
      <c r="L128" s="38" t="s">
        <v>1194</v>
      </c>
      <c r="M128" s="38" t="s">
        <v>1208</v>
      </c>
      <c r="N128" s="38" t="s">
        <v>1209</v>
      </c>
      <c r="O128" s="38" t="s">
        <v>159</v>
      </c>
      <c r="P128" s="38"/>
      <c r="Q128" s="38"/>
      <c r="R128" s="38"/>
      <c r="S128" s="41"/>
      <c r="T128" s="41"/>
      <c r="U128" s="42">
        <v>0.0</v>
      </c>
      <c r="V128" s="38" t="s">
        <v>175</v>
      </c>
      <c r="W128" s="38" t="s">
        <v>177</v>
      </c>
      <c r="X128" s="43"/>
    </row>
    <row r="129" ht="48.0" customHeight="1">
      <c r="A129" s="36">
        <v>128.0</v>
      </c>
      <c r="B129" s="38" t="s">
        <v>1210</v>
      </c>
      <c r="C129" s="38" t="s">
        <v>129</v>
      </c>
      <c r="D129" s="38" t="s">
        <v>241</v>
      </c>
      <c r="E129" s="38" t="s">
        <v>6</v>
      </c>
      <c r="F129" s="38" t="s">
        <v>1211</v>
      </c>
      <c r="G129" s="38" t="s">
        <v>1212</v>
      </c>
      <c r="H129" s="38" t="s">
        <v>1213</v>
      </c>
      <c r="I129" s="38" t="s">
        <v>564</v>
      </c>
      <c r="J129" s="38" t="s">
        <v>147</v>
      </c>
      <c r="K129" s="38" t="s">
        <v>1158</v>
      </c>
      <c r="L129" s="38" t="s">
        <v>1214</v>
      </c>
      <c r="M129" s="38" t="s">
        <v>1215</v>
      </c>
      <c r="N129" s="38" t="s">
        <v>1216</v>
      </c>
      <c r="O129" s="38" t="s">
        <v>159</v>
      </c>
      <c r="P129" s="38"/>
      <c r="Q129" s="38"/>
      <c r="R129" s="38"/>
      <c r="S129" s="41"/>
      <c r="T129" s="41"/>
      <c r="U129" s="42">
        <v>0.0</v>
      </c>
      <c r="V129" s="38" t="s">
        <v>175</v>
      </c>
      <c r="W129" s="38" t="s">
        <v>177</v>
      </c>
      <c r="X129" s="43"/>
    </row>
    <row r="130" ht="48.0" customHeight="1">
      <c r="A130" s="36">
        <v>129.0</v>
      </c>
      <c r="B130" s="38" t="s">
        <v>1217</v>
      </c>
      <c r="C130" s="38" t="s">
        <v>129</v>
      </c>
      <c r="D130" s="38" t="s">
        <v>241</v>
      </c>
      <c r="E130" s="38" t="s">
        <v>6</v>
      </c>
      <c r="F130" s="38" t="s">
        <v>1218</v>
      </c>
      <c r="G130" s="38" t="s">
        <v>1219</v>
      </c>
      <c r="H130" s="38" t="s">
        <v>325</v>
      </c>
      <c r="I130" s="38" t="s">
        <v>327</v>
      </c>
      <c r="J130" s="38" t="s">
        <v>147</v>
      </c>
      <c r="K130" s="38" t="s">
        <v>1158</v>
      </c>
      <c r="L130" s="38" t="s">
        <v>1205</v>
      </c>
      <c r="M130" s="38" t="s">
        <v>1220</v>
      </c>
      <c r="N130" s="38" t="s">
        <v>1221</v>
      </c>
      <c r="O130" s="38" t="s">
        <v>159</v>
      </c>
      <c r="P130" s="38"/>
      <c r="Q130" s="38"/>
      <c r="R130" s="38"/>
      <c r="S130" s="41"/>
      <c r="T130" s="41"/>
      <c r="U130" s="42">
        <v>0.0</v>
      </c>
      <c r="V130" s="38" t="s">
        <v>175</v>
      </c>
      <c r="W130" s="38" t="s">
        <v>177</v>
      </c>
      <c r="X130" s="43"/>
    </row>
    <row r="131" ht="48.0" customHeight="1">
      <c r="A131" s="36">
        <v>130.0</v>
      </c>
      <c r="B131" s="38" t="s">
        <v>1222</v>
      </c>
      <c r="C131" s="38" t="s">
        <v>129</v>
      </c>
      <c r="D131" s="38" t="s">
        <v>241</v>
      </c>
      <c r="E131" s="38" t="s">
        <v>6</v>
      </c>
      <c r="F131" s="38" t="s">
        <v>1223</v>
      </c>
      <c r="G131" s="38" t="s">
        <v>1224</v>
      </c>
      <c r="H131" s="38" t="s">
        <v>117</v>
      </c>
      <c r="I131" s="38" t="s">
        <v>248</v>
      </c>
      <c r="J131" s="38" t="s">
        <v>147</v>
      </c>
      <c r="K131" s="38" t="s">
        <v>1158</v>
      </c>
      <c r="L131" s="38" t="s">
        <v>1225</v>
      </c>
      <c r="M131" s="38" t="s">
        <v>1226</v>
      </c>
      <c r="N131" s="38" t="s">
        <v>1227</v>
      </c>
      <c r="O131" s="38" t="s">
        <v>159</v>
      </c>
      <c r="P131" s="38"/>
      <c r="Q131" s="38"/>
      <c r="R131" s="38"/>
      <c r="S131" s="41"/>
      <c r="T131" s="41"/>
      <c r="U131" s="42">
        <v>0.0</v>
      </c>
      <c r="V131" s="38" t="s">
        <v>175</v>
      </c>
      <c r="W131" s="38" t="s">
        <v>177</v>
      </c>
      <c r="X131" s="43"/>
    </row>
    <row r="132" ht="48.0" customHeight="1">
      <c r="A132" s="36">
        <v>131.0</v>
      </c>
      <c r="B132" s="38" t="s">
        <v>1228</v>
      </c>
      <c r="C132" s="38" t="s">
        <v>129</v>
      </c>
      <c r="D132" s="38" t="s">
        <v>241</v>
      </c>
      <c r="E132" s="38" t="s">
        <v>6</v>
      </c>
      <c r="F132" s="38" t="s">
        <v>1229</v>
      </c>
      <c r="G132" s="38" t="s">
        <v>1230</v>
      </c>
      <c r="H132" s="38" t="s">
        <v>1231</v>
      </c>
      <c r="I132" s="38" t="s">
        <v>248</v>
      </c>
      <c r="J132" s="38" t="s">
        <v>193</v>
      </c>
      <c r="K132" s="38" t="s">
        <v>1158</v>
      </c>
      <c r="L132" s="38" t="s">
        <v>1232</v>
      </c>
      <c r="M132" s="38" t="s">
        <v>1233</v>
      </c>
      <c r="N132" s="38" t="s">
        <v>1234</v>
      </c>
      <c r="O132" s="38" t="s">
        <v>159</v>
      </c>
      <c r="P132" s="38"/>
      <c r="Q132" s="38"/>
      <c r="R132" s="38"/>
      <c r="S132" s="41"/>
      <c r="T132" s="41"/>
      <c r="U132" s="42">
        <v>0.0</v>
      </c>
      <c r="V132" s="38" t="s">
        <v>175</v>
      </c>
      <c r="W132" s="38" t="s">
        <v>177</v>
      </c>
      <c r="X132" s="43"/>
    </row>
    <row r="133" ht="48.0" customHeight="1">
      <c r="A133" s="36">
        <v>132.0</v>
      </c>
      <c r="B133" s="38" t="s">
        <v>1235</v>
      </c>
      <c r="C133" s="38" t="s">
        <v>129</v>
      </c>
      <c r="D133" s="38" t="s">
        <v>241</v>
      </c>
      <c r="E133" s="38" t="s">
        <v>6</v>
      </c>
      <c r="F133" s="38" t="s">
        <v>1236</v>
      </c>
      <c r="G133" s="38" t="s">
        <v>1237</v>
      </c>
      <c r="H133" s="38" t="s">
        <v>276</v>
      </c>
      <c r="I133" s="38" t="s">
        <v>145</v>
      </c>
      <c r="J133" s="38" t="s">
        <v>232</v>
      </c>
      <c r="K133" s="38" t="s">
        <v>1158</v>
      </c>
      <c r="L133" s="38" t="s">
        <v>1238</v>
      </c>
      <c r="M133" s="38" t="s">
        <v>1239</v>
      </c>
      <c r="N133" s="38" t="s">
        <v>1240</v>
      </c>
      <c r="O133" s="38" t="s">
        <v>159</v>
      </c>
      <c r="P133" s="38"/>
      <c r="Q133" s="38"/>
      <c r="R133" s="38"/>
      <c r="S133" s="41"/>
      <c r="T133" s="41"/>
      <c r="U133" s="42">
        <v>0.0</v>
      </c>
      <c r="V133" s="38" t="s">
        <v>175</v>
      </c>
      <c r="W133" s="38" t="s">
        <v>177</v>
      </c>
      <c r="X133" s="43"/>
    </row>
    <row r="134" ht="48.0" customHeight="1">
      <c r="A134" s="36">
        <v>133.0</v>
      </c>
      <c r="B134" s="38" t="s">
        <v>1241</v>
      </c>
      <c r="C134" s="38" t="s">
        <v>129</v>
      </c>
      <c r="D134" s="38" t="s">
        <v>241</v>
      </c>
      <c r="E134" s="38" t="s">
        <v>6</v>
      </c>
      <c r="F134" s="38" t="s">
        <v>1242</v>
      </c>
      <c r="G134" s="38" t="s">
        <v>1243</v>
      </c>
      <c r="H134" s="38" t="s">
        <v>325</v>
      </c>
      <c r="I134" s="38" t="s">
        <v>327</v>
      </c>
      <c r="J134" s="38" t="s">
        <v>147</v>
      </c>
      <c r="K134" s="38" t="s">
        <v>1158</v>
      </c>
      <c r="L134" s="38" t="s">
        <v>1222</v>
      </c>
      <c r="M134" s="38" t="s">
        <v>1244</v>
      </c>
      <c r="N134" s="38" t="s">
        <v>1245</v>
      </c>
      <c r="O134" s="38" t="s">
        <v>159</v>
      </c>
      <c r="P134" s="38"/>
      <c r="Q134" s="38"/>
      <c r="R134" s="38"/>
      <c r="S134" s="41"/>
      <c r="T134" s="41"/>
      <c r="U134" s="42">
        <v>0.0</v>
      </c>
      <c r="V134" s="38" t="s">
        <v>175</v>
      </c>
      <c r="W134" s="38" t="s">
        <v>177</v>
      </c>
      <c r="X134" s="43"/>
    </row>
    <row r="135" ht="48.0" customHeight="1">
      <c r="A135" s="36">
        <v>134.0</v>
      </c>
      <c r="B135" s="38" t="s">
        <v>1246</v>
      </c>
      <c r="C135" s="38" t="s">
        <v>129</v>
      </c>
      <c r="D135" s="38" t="s">
        <v>241</v>
      </c>
      <c r="E135" s="38" t="s">
        <v>6</v>
      </c>
      <c r="F135" s="38" t="s">
        <v>1247</v>
      </c>
      <c r="G135" s="38" t="s">
        <v>1248</v>
      </c>
      <c r="H135" s="38" t="s">
        <v>117</v>
      </c>
      <c r="I135" s="38" t="s">
        <v>248</v>
      </c>
      <c r="J135" s="38" t="s">
        <v>147</v>
      </c>
      <c r="K135" s="38" t="s">
        <v>1158</v>
      </c>
      <c r="L135" s="38" t="s">
        <v>1241</v>
      </c>
      <c r="M135" s="38" t="s">
        <v>1249</v>
      </c>
      <c r="N135" s="38" t="s">
        <v>1250</v>
      </c>
      <c r="O135" s="38" t="s">
        <v>159</v>
      </c>
      <c r="P135" s="38"/>
      <c r="Q135" s="38"/>
      <c r="R135" s="38"/>
      <c r="S135" s="41"/>
      <c r="T135" s="41"/>
      <c r="U135" s="42">
        <v>0.0</v>
      </c>
      <c r="V135" s="38" t="s">
        <v>175</v>
      </c>
      <c r="W135" s="38" t="s">
        <v>177</v>
      </c>
      <c r="X135" s="43"/>
    </row>
    <row r="136" ht="48.0" customHeight="1">
      <c r="A136" s="36">
        <v>135.0</v>
      </c>
      <c r="B136" s="38" t="s">
        <v>1251</v>
      </c>
      <c r="C136" s="38" t="s">
        <v>129</v>
      </c>
      <c r="D136" s="38" t="s">
        <v>241</v>
      </c>
      <c r="E136" s="38" t="s">
        <v>6</v>
      </c>
      <c r="F136" s="38" t="s">
        <v>1252</v>
      </c>
      <c r="G136" s="38" t="s">
        <v>1253</v>
      </c>
      <c r="H136" s="38" t="s">
        <v>276</v>
      </c>
      <c r="I136" s="38" t="s">
        <v>248</v>
      </c>
      <c r="J136" s="38" t="s">
        <v>193</v>
      </c>
      <c r="K136" s="38" t="s">
        <v>1158</v>
      </c>
      <c r="L136" s="38" t="s">
        <v>1246</v>
      </c>
      <c r="M136" s="38" t="s">
        <v>1254</v>
      </c>
      <c r="N136" s="38" t="s">
        <v>1255</v>
      </c>
      <c r="O136" s="38" t="s">
        <v>159</v>
      </c>
      <c r="P136" s="38"/>
      <c r="Q136" s="38"/>
      <c r="R136" s="38"/>
      <c r="S136" s="41"/>
      <c r="T136" s="41"/>
      <c r="U136" s="42">
        <v>0.0</v>
      </c>
      <c r="V136" s="38" t="s">
        <v>175</v>
      </c>
      <c r="W136" s="38" t="s">
        <v>177</v>
      </c>
      <c r="X136" s="43"/>
    </row>
    <row r="137" ht="48.0" customHeight="1">
      <c r="A137" s="36">
        <v>136.0</v>
      </c>
      <c r="B137" s="38" t="s">
        <v>1256</v>
      </c>
      <c r="C137" s="38" t="s">
        <v>129</v>
      </c>
      <c r="D137" s="38" t="s">
        <v>241</v>
      </c>
      <c r="E137" s="38" t="s">
        <v>6</v>
      </c>
      <c r="F137" s="38" t="s">
        <v>1257</v>
      </c>
      <c r="G137" s="38" t="s">
        <v>1258</v>
      </c>
      <c r="H137" s="38" t="s">
        <v>1259</v>
      </c>
      <c r="I137" s="38" t="s">
        <v>248</v>
      </c>
      <c r="J137" s="38" t="s">
        <v>147</v>
      </c>
      <c r="K137" s="38" t="s">
        <v>1158</v>
      </c>
      <c r="L137" s="38" t="s">
        <v>1222</v>
      </c>
      <c r="M137" s="38" t="s">
        <v>1260</v>
      </c>
      <c r="N137" s="38" t="s">
        <v>1261</v>
      </c>
      <c r="O137" s="38" t="s">
        <v>159</v>
      </c>
      <c r="P137" s="38"/>
      <c r="Q137" s="38"/>
      <c r="R137" s="38"/>
      <c r="S137" s="41"/>
      <c r="T137" s="41"/>
      <c r="U137" s="42">
        <v>0.0</v>
      </c>
      <c r="V137" s="38" t="s">
        <v>175</v>
      </c>
      <c r="W137" s="38" t="s">
        <v>177</v>
      </c>
      <c r="X137" s="43"/>
    </row>
    <row r="138" ht="48.0" customHeight="1">
      <c r="A138" s="36">
        <v>137.0</v>
      </c>
      <c r="B138" s="38" t="s">
        <v>1262</v>
      </c>
      <c r="C138" s="38" t="s">
        <v>129</v>
      </c>
      <c r="D138" s="38" t="s">
        <v>241</v>
      </c>
      <c r="E138" s="38" t="s">
        <v>6</v>
      </c>
      <c r="F138" s="38" t="s">
        <v>1263</v>
      </c>
      <c r="G138" s="38" t="s">
        <v>1264</v>
      </c>
      <c r="H138" s="38" t="s">
        <v>1259</v>
      </c>
      <c r="I138" s="38" t="s">
        <v>248</v>
      </c>
      <c r="J138" s="38" t="s">
        <v>193</v>
      </c>
      <c r="K138" s="38" t="s">
        <v>1158</v>
      </c>
      <c r="L138" s="38" t="s">
        <v>1256</v>
      </c>
      <c r="M138" s="38" t="s">
        <v>1265</v>
      </c>
      <c r="N138" s="38" t="s">
        <v>1266</v>
      </c>
      <c r="O138" s="38" t="s">
        <v>159</v>
      </c>
      <c r="P138" s="38"/>
      <c r="Q138" s="38"/>
      <c r="R138" s="38"/>
      <c r="S138" s="41"/>
      <c r="T138" s="41"/>
      <c r="U138" s="42">
        <v>0.0</v>
      </c>
      <c r="V138" s="38" t="s">
        <v>175</v>
      </c>
      <c r="W138" s="38" t="s">
        <v>177</v>
      </c>
      <c r="X138" s="43"/>
    </row>
    <row r="139" ht="48.0" customHeight="1">
      <c r="A139" s="36">
        <v>138.0</v>
      </c>
      <c r="B139" s="38" t="s">
        <v>1267</v>
      </c>
      <c r="C139" s="38" t="s">
        <v>129</v>
      </c>
      <c r="D139" s="38" t="s">
        <v>241</v>
      </c>
      <c r="E139" s="38" t="s">
        <v>6</v>
      </c>
      <c r="F139" s="38" t="s">
        <v>1129</v>
      </c>
      <c r="G139" s="38" t="s">
        <v>1268</v>
      </c>
      <c r="H139" s="38" t="s">
        <v>1259</v>
      </c>
      <c r="I139" s="38" t="s">
        <v>248</v>
      </c>
      <c r="J139" s="38" t="s">
        <v>232</v>
      </c>
      <c r="K139" s="38" t="s">
        <v>1158</v>
      </c>
      <c r="L139" s="38" t="s">
        <v>1269</v>
      </c>
      <c r="M139" s="38" t="s">
        <v>1270</v>
      </c>
      <c r="N139" s="38" t="s">
        <v>1271</v>
      </c>
      <c r="O139" s="38" t="s">
        <v>159</v>
      </c>
      <c r="P139" s="38"/>
      <c r="Q139" s="38"/>
      <c r="R139" s="38"/>
      <c r="S139" s="41"/>
      <c r="T139" s="41"/>
      <c r="U139" s="42">
        <v>0.0</v>
      </c>
      <c r="V139" s="38" t="s">
        <v>175</v>
      </c>
      <c r="W139" s="38" t="s">
        <v>177</v>
      </c>
      <c r="X139" s="43"/>
    </row>
    <row r="140" ht="48.0" customHeight="1">
      <c r="A140" s="36">
        <v>139.0</v>
      </c>
      <c r="B140" s="38" t="s">
        <v>1272</v>
      </c>
      <c r="C140" s="38" t="s">
        <v>321</v>
      </c>
      <c r="D140" s="38" t="s">
        <v>241</v>
      </c>
      <c r="E140" s="38" t="s">
        <v>829</v>
      </c>
      <c r="F140" s="38" t="s">
        <v>1273</v>
      </c>
      <c r="G140" s="38" t="s">
        <v>1274</v>
      </c>
      <c r="H140" s="38" t="s">
        <v>1275</v>
      </c>
      <c r="I140" s="38" t="s">
        <v>824</v>
      </c>
      <c r="J140" s="38" t="s">
        <v>147</v>
      </c>
      <c r="K140" s="38" t="s">
        <v>1158</v>
      </c>
      <c r="L140" s="38" t="s">
        <v>1276</v>
      </c>
      <c r="M140" s="38" t="s">
        <v>1277</v>
      </c>
      <c r="N140" s="38" t="s">
        <v>1278</v>
      </c>
      <c r="O140" s="38" t="s">
        <v>159</v>
      </c>
      <c r="P140" s="38"/>
      <c r="Q140" s="38"/>
      <c r="R140" s="38"/>
      <c r="S140" s="41"/>
      <c r="T140" s="41"/>
      <c r="U140" s="42">
        <v>0.0</v>
      </c>
      <c r="V140" s="38" t="s">
        <v>175</v>
      </c>
      <c r="W140" s="38" t="s">
        <v>177</v>
      </c>
      <c r="X140" s="43"/>
    </row>
    <row r="141" ht="48.0" customHeight="1">
      <c r="A141" s="36">
        <v>140.0</v>
      </c>
      <c r="B141" s="38" t="s">
        <v>1279</v>
      </c>
      <c r="C141" s="38" t="s">
        <v>321</v>
      </c>
      <c r="D141" s="38" t="s">
        <v>241</v>
      </c>
      <c r="E141" s="38" t="s">
        <v>837</v>
      </c>
      <c r="F141" s="38" t="s">
        <v>1280</v>
      </c>
      <c r="G141" s="38" t="s">
        <v>1281</v>
      </c>
      <c r="H141" s="38" t="s">
        <v>1282</v>
      </c>
      <c r="I141" s="38" t="s">
        <v>1283</v>
      </c>
      <c r="J141" s="38" t="s">
        <v>147</v>
      </c>
      <c r="K141" s="38" t="s">
        <v>1158</v>
      </c>
      <c r="L141" s="38" t="s">
        <v>1284</v>
      </c>
      <c r="M141" s="38" t="s">
        <v>1285</v>
      </c>
      <c r="N141" s="38" t="s">
        <v>1286</v>
      </c>
      <c r="O141" s="38" t="s">
        <v>159</v>
      </c>
      <c r="P141" s="38"/>
      <c r="Q141" s="38"/>
      <c r="R141" s="38"/>
      <c r="S141" s="41"/>
      <c r="T141" s="41"/>
      <c r="U141" s="42">
        <v>0.0</v>
      </c>
      <c r="V141" s="38" t="s">
        <v>175</v>
      </c>
      <c r="W141" s="38" t="s">
        <v>177</v>
      </c>
      <c r="X141" s="43"/>
    </row>
    <row r="142" ht="48.0" customHeight="1">
      <c r="A142" s="36">
        <v>141.0</v>
      </c>
      <c r="B142" s="38" t="s">
        <v>1287</v>
      </c>
      <c r="C142" s="38" t="s">
        <v>1288</v>
      </c>
      <c r="D142" s="38" t="s">
        <v>241</v>
      </c>
      <c r="E142" s="38" t="s">
        <v>8</v>
      </c>
      <c r="F142" s="38" t="s">
        <v>1289</v>
      </c>
      <c r="G142" s="38" t="s">
        <v>1290</v>
      </c>
      <c r="H142" s="38" t="s">
        <v>1291</v>
      </c>
      <c r="I142" s="38" t="s">
        <v>824</v>
      </c>
      <c r="J142" s="38" t="s">
        <v>147</v>
      </c>
      <c r="K142" s="38" t="s">
        <v>1158</v>
      </c>
      <c r="L142" s="38" t="s">
        <v>1292</v>
      </c>
      <c r="M142" s="38" t="s">
        <v>1293</v>
      </c>
      <c r="N142" s="38" t="s">
        <v>1294</v>
      </c>
      <c r="O142" s="38" t="s">
        <v>159</v>
      </c>
      <c r="P142" s="38"/>
      <c r="Q142" s="38"/>
      <c r="R142" s="38"/>
      <c r="S142" s="41"/>
      <c r="T142" s="41"/>
      <c r="U142" s="42">
        <v>0.0</v>
      </c>
      <c r="V142" s="38" t="s">
        <v>175</v>
      </c>
      <c r="W142" s="38" t="s">
        <v>177</v>
      </c>
      <c r="X142" s="43"/>
    </row>
    <row r="143" ht="48.0" customHeight="1">
      <c r="A143" s="36">
        <v>142.0</v>
      </c>
      <c r="B143" s="38" t="s">
        <v>1295</v>
      </c>
      <c r="C143" s="38" t="s">
        <v>129</v>
      </c>
      <c r="D143" s="38" t="s">
        <v>241</v>
      </c>
      <c r="E143" s="38" t="s">
        <v>8</v>
      </c>
      <c r="F143" s="38" t="s">
        <v>1296</v>
      </c>
      <c r="G143" s="38" t="s">
        <v>1297</v>
      </c>
      <c r="H143" s="38" t="s">
        <v>1298</v>
      </c>
      <c r="I143" s="38" t="s">
        <v>248</v>
      </c>
      <c r="J143" s="38" t="s">
        <v>147</v>
      </c>
      <c r="K143" s="38" t="s">
        <v>1158</v>
      </c>
      <c r="L143" s="38" t="s">
        <v>1299</v>
      </c>
      <c r="M143" s="38" t="s">
        <v>1300</v>
      </c>
      <c r="N143" s="38" t="s">
        <v>1301</v>
      </c>
      <c r="O143" s="38" t="s">
        <v>159</v>
      </c>
      <c r="P143" s="38"/>
      <c r="Q143" s="38"/>
      <c r="R143" s="38"/>
      <c r="S143" s="41"/>
      <c r="T143" s="41"/>
      <c r="U143" s="42">
        <v>0.0</v>
      </c>
      <c r="V143" s="38" t="s">
        <v>175</v>
      </c>
      <c r="W143" s="38" t="s">
        <v>177</v>
      </c>
      <c r="X143" s="43"/>
    </row>
    <row r="144" ht="48.0" customHeight="1">
      <c r="A144" s="36">
        <v>143.0</v>
      </c>
      <c r="B144" s="38" t="s">
        <v>1302</v>
      </c>
      <c r="C144" s="38" t="s">
        <v>129</v>
      </c>
      <c r="D144" s="38" t="s">
        <v>241</v>
      </c>
      <c r="E144" s="38" t="s">
        <v>8</v>
      </c>
      <c r="F144" s="38" t="s">
        <v>1303</v>
      </c>
      <c r="G144" s="38" t="s">
        <v>1304</v>
      </c>
      <c r="H144" s="38" t="s">
        <v>1305</v>
      </c>
      <c r="I144" s="38" t="s">
        <v>248</v>
      </c>
      <c r="J144" s="38" t="s">
        <v>147</v>
      </c>
      <c r="K144" s="38" t="s">
        <v>1158</v>
      </c>
      <c r="L144" s="38" t="s">
        <v>1306</v>
      </c>
      <c r="M144" s="38" t="s">
        <v>1307</v>
      </c>
      <c r="N144" s="38" t="s">
        <v>1308</v>
      </c>
      <c r="O144" s="38" t="s">
        <v>159</v>
      </c>
      <c r="P144" s="38"/>
      <c r="Q144" s="38"/>
      <c r="R144" s="38"/>
      <c r="S144" s="41"/>
      <c r="T144" s="41"/>
      <c r="U144" s="42">
        <v>0.0</v>
      </c>
      <c r="V144" s="38" t="s">
        <v>175</v>
      </c>
      <c r="W144" s="38" t="s">
        <v>177</v>
      </c>
      <c r="X144" s="43"/>
    </row>
    <row r="145" ht="48.0" customHeight="1">
      <c r="A145" s="36">
        <v>144.0</v>
      </c>
      <c r="B145" s="38" t="s">
        <v>1309</v>
      </c>
      <c r="C145" s="38" t="s">
        <v>129</v>
      </c>
      <c r="D145" s="38" t="s">
        <v>241</v>
      </c>
      <c r="E145" s="38" t="s">
        <v>8</v>
      </c>
      <c r="F145" s="38" t="s">
        <v>1310</v>
      </c>
      <c r="G145" s="38" t="s">
        <v>1311</v>
      </c>
      <c r="H145" s="38" t="s">
        <v>1305</v>
      </c>
      <c r="I145" s="38" t="s">
        <v>248</v>
      </c>
      <c r="J145" s="38" t="s">
        <v>147</v>
      </c>
      <c r="K145" s="38" t="s">
        <v>1158</v>
      </c>
      <c r="L145" s="38" t="s">
        <v>1312</v>
      </c>
      <c r="M145" s="38" t="s">
        <v>1313</v>
      </c>
      <c r="N145" s="38" t="s">
        <v>1314</v>
      </c>
      <c r="O145" s="38" t="s">
        <v>159</v>
      </c>
      <c r="P145" s="38"/>
      <c r="Q145" s="38"/>
      <c r="R145" s="38"/>
      <c r="S145" s="41"/>
      <c r="T145" s="41"/>
      <c r="U145" s="42">
        <v>0.0</v>
      </c>
      <c r="V145" s="38" t="s">
        <v>175</v>
      </c>
      <c r="W145" s="38" t="s">
        <v>177</v>
      </c>
      <c r="X145" s="43"/>
    </row>
    <row r="146" ht="48.0" customHeight="1">
      <c r="A146" s="36">
        <v>145.0</v>
      </c>
      <c r="B146" s="38" t="s">
        <v>1315</v>
      </c>
      <c r="C146" s="38" t="s">
        <v>129</v>
      </c>
      <c r="D146" s="38" t="s">
        <v>241</v>
      </c>
      <c r="E146" s="38" t="s">
        <v>8</v>
      </c>
      <c r="F146" s="38" t="s">
        <v>1316</v>
      </c>
      <c r="G146" s="38" t="s">
        <v>1317</v>
      </c>
      <c r="H146" s="38" t="s">
        <v>1305</v>
      </c>
      <c r="I146" s="38" t="s">
        <v>248</v>
      </c>
      <c r="J146" s="38" t="s">
        <v>193</v>
      </c>
      <c r="K146" s="38" t="s">
        <v>1158</v>
      </c>
      <c r="L146" s="38" t="s">
        <v>1309</v>
      </c>
      <c r="M146" s="38" t="s">
        <v>1318</v>
      </c>
      <c r="N146" s="38" t="s">
        <v>1319</v>
      </c>
      <c r="O146" s="38" t="s">
        <v>159</v>
      </c>
      <c r="P146" s="38"/>
      <c r="Q146" s="38"/>
      <c r="R146" s="38"/>
      <c r="S146" s="41"/>
      <c r="T146" s="41"/>
      <c r="U146" s="42">
        <v>0.0</v>
      </c>
      <c r="V146" s="38" t="s">
        <v>175</v>
      </c>
      <c r="W146" s="38" t="s">
        <v>177</v>
      </c>
      <c r="X146" s="43"/>
    </row>
    <row r="147" ht="48.0" customHeight="1">
      <c r="A147" s="36">
        <v>146.0</v>
      </c>
      <c r="B147" s="38" t="s">
        <v>1320</v>
      </c>
      <c r="C147" s="38" t="s">
        <v>129</v>
      </c>
      <c r="D147" s="38" t="s">
        <v>241</v>
      </c>
      <c r="E147" s="38" t="s">
        <v>1321</v>
      </c>
      <c r="F147" s="38" t="s">
        <v>1322</v>
      </c>
      <c r="G147" s="38" t="s">
        <v>1323</v>
      </c>
      <c r="H147" s="38" t="s">
        <v>1305</v>
      </c>
      <c r="I147" s="38" t="s">
        <v>248</v>
      </c>
      <c r="J147" s="38" t="s">
        <v>147</v>
      </c>
      <c r="K147" s="38" t="s">
        <v>1158</v>
      </c>
      <c r="L147" s="38" t="s">
        <v>1324</v>
      </c>
      <c r="M147" s="38" t="s">
        <v>1325</v>
      </c>
      <c r="N147" s="38" t="s">
        <v>1326</v>
      </c>
      <c r="O147" s="38" t="s">
        <v>159</v>
      </c>
      <c r="P147" s="38"/>
      <c r="Q147" s="38"/>
      <c r="R147" s="38"/>
      <c r="S147" s="41"/>
      <c r="T147" s="41"/>
      <c r="U147" s="42">
        <v>0.0</v>
      </c>
      <c r="V147" s="38" t="s">
        <v>175</v>
      </c>
      <c r="W147" s="38" t="s">
        <v>177</v>
      </c>
      <c r="X147" s="43"/>
    </row>
    <row r="148" ht="48.0" customHeight="1">
      <c r="A148" s="36">
        <v>147.0</v>
      </c>
      <c r="B148" s="38" t="s">
        <v>1327</v>
      </c>
      <c r="C148" s="38" t="s">
        <v>129</v>
      </c>
      <c r="D148" s="38" t="s">
        <v>241</v>
      </c>
      <c r="E148" s="38" t="s">
        <v>1321</v>
      </c>
      <c r="F148" s="38" t="s">
        <v>1328</v>
      </c>
      <c r="G148" s="38" t="s">
        <v>1329</v>
      </c>
      <c r="H148" s="38" t="s">
        <v>1305</v>
      </c>
      <c r="I148" s="38" t="s">
        <v>248</v>
      </c>
      <c r="J148" s="38" t="s">
        <v>193</v>
      </c>
      <c r="K148" s="38" t="s">
        <v>1158</v>
      </c>
      <c r="L148" s="38" t="s">
        <v>1320</v>
      </c>
      <c r="M148" s="38" t="s">
        <v>1330</v>
      </c>
      <c r="N148" s="38" t="s">
        <v>1331</v>
      </c>
      <c r="O148" s="38" t="s">
        <v>159</v>
      </c>
      <c r="P148" s="38"/>
      <c r="Q148" s="38"/>
      <c r="R148" s="38"/>
      <c r="S148" s="41"/>
      <c r="T148" s="41"/>
      <c r="U148" s="42">
        <v>0.0</v>
      </c>
      <c r="V148" s="38" t="s">
        <v>175</v>
      </c>
      <c r="W148" s="38" t="s">
        <v>177</v>
      </c>
      <c r="X148" s="43"/>
    </row>
    <row r="149" ht="48.0" customHeight="1">
      <c r="A149" s="36">
        <v>148.0</v>
      </c>
      <c r="B149" s="38" t="s">
        <v>1332</v>
      </c>
      <c r="C149" s="38" t="s">
        <v>129</v>
      </c>
      <c r="D149" s="38" t="s">
        <v>241</v>
      </c>
      <c r="E149" s="38" t="s">
        <v>1321</v>
      </c>
      <c r="F149" s="38" t="s">
        <v>1333</v>
      </c>
      <c r="G149" s="38" t="s">
        <v>1334</v>
      </c>
      <c r="H149" s="38" t="s">
        <v>1305</v>
      </c>
      <c r="I149" s="38" t="s">
        <v>248</v>
      </c>
      <c r="J149" s="38" t="s">
        <v>193</v>
      </c>
      <c r="K149" s="38" t="s">
        <v>1158</v>
      </c>
      <c r="L149" s="38" t="s">
        <v>1327</v>
      </c>
      <c r="M149" s="38" t="s">
        <v>1335</v>
      </c>
      <c r="N149" s="38" t="s">
        <v>1336</v>
      </c>
      <c r="O149" s="38" t="s">
        <v>159</v>
      </c>
      <c r="P149" s="38"/>
      <c r="Q149" s="38"/>
      <c r="R149" s="38"/>
      <c r="S149" s="41"/>
      <c r="T149" s="41"/>
      <c r="U149" s="42">
        <v>0.0</v>
      </c>
      <c r="V149" s="38" t="s">
        <v>175</v>
      </c>
      <c r="W149" s="38" t="s">
        <v>177</v>
      </c>
      <c r="X149" s="43"/>
    </row>
    <row r="150" ht="48.0" customHeight="1">
      <c r="A150" s="36">
        <v>149.0</v>
      </c>
      <c r="B150" s="38" t="s">
        <v>1337</v>
      </c>
      <c r="C150" s="38" t="s">
        <v>129</v>
      </c>
      <c r="D150" s="38" t="s">
        <v>241</v>
      </c>
      <c r="E150" s="38" t="s">
        <v>1338</v>
      </c>
      <c r="F150" s="38" t="s">
        <v>1339</v>
      </c>
      <c r="G150" s="38" t="s">
        <v>1340</v>
      </c>
      <c r="H150" s="38" t="s">
        <v>1305</v>
      </c>
      <c r="I150" s="38" t="s">
        <v>248</v>
      </c>
      <c r="J150" s="38" t="s">
        <v>147</v>
      </c>
      <c r="K150" s="38" t="s">
        <v>1158</v>
      </c>
      <c r="L150" s="38" t="s">
        <v>1309</v>
      </c>
      <c r="M150" s="38" t="s">
        <v>1341</v>
      </c>
      <c r="N150" s="38" t="s">
        <v>1342</v>
      </c>
      <c r="O150" s="38" t="s">
        <v>159</v>
      </c>
      <c r="P150" s="38"/>
      <c r="Q150" s="38"/>
      <c r="R150" s="38"/>
      <c r="S150" s="41"/>
      <c r="T150" s="41"/>
      <c r="U150" s="42">
        <v>0.0</v>
      </c>
      <c r="V150" s="38" t="s">
        <v>175</v>
      </c>
      <c r="W150" s="38" t="s">
        <v>177</v>
      </c>
      <c r="X150" s="43"/>
    </row>
    <row r="151" ht="48.0" customHeight="1">
      <c r="A151" s="36">
        <v>150.0</v>
      </c>
      <c r="B151" s="38" t="s">
        <v>1343</v>
      </c>
      <c r="C151" s="38" t="s">
        <v>129</v>
      </c>
      <c r="D151" s="38" t="s">
        <v>241</v>
      </c>
      <c r="E151" s="38" t="s">
        <v>1338</v>
      </c>
      <c r="F151" s="38" t="s">
        <v>1344</v>
      </c>
      <c r="G151" s="38" t="s">
        <v>1345</v>
      </c>
      <c r="H151" s="38" t="s">
        <v>1305</v>
      </c>
      <c r="I151" s="38" t="s">
        <v>248</v>
      </c>
      <c r="J151" s="38" t="s">
        <v>193</v>
      </c>
      <c r="K151" s="38" t="s">
        <v>1158</v>
      </c>
      <c r="L151" s="38" t="s">
        <v>1287</v>
      </c>
      <c r="M151" s="38" t="s">
        <v>1346</v>
      </c>
      <c r="N151" s="38" t="s">
        <v>1347</v>
      </c>
      <c r="O151" s="38" t="s">
        <v>159</v>
      </c>
      <c r="P151" s="38"/>
      <c r="Q151" s="38"/>
      <c r="R151" s="38"/>
      <c r="S151" s="41"/>
      <c r="T151" s="41"/>
      <c r="U151" s="42">
        <v>0.0</v>
      </c>
      <c r="V151" s="38" t="s">
        <v>175</v>
      </c>
      <c r="W151" s="38" t="s">
        <v>177</v>
      </c>
      <c r="X151" s="43"/>
    </row>
    <row r="152" ht="48.0" customHeight="1">
      <c r="A152" s="36">
        <v>151.0</v>
      </c>
      <c r="B152" s="38" t="s">
        <v>1348</v>
      </c>
      <c r="C152" s="38" t="s">
        <v>129</v>
      </c>
      <c r="D152" s="38" t="s">
        <v>241</v>
      </c>
      <c r="E152" s="38" t="s">
        <v>1349</v>
      </c>
      <c r="F152" s="38" t="s">
        <v>1350</v>
      </c>
      <c r="G152" s="38" t="s">
        <v>1351</v>
      </c>
      <c r="H152" s="38" t="s">
        <v>1352</v>
      </c>
      <c r="I152" s="38" t="s">
        <v>564</v>
      </c>
      <c r="J152" s="38" t="s">
        <v>193</v>
      </c>
      <c r="K152" s="38" t="s">
        <v>1158</v>
      </c>
      <c r="L152" s="38" t="s">
        <v>1353</v>
      </c>
      <c r="M152" s="38" t="s">
        <v>1354</v>
      </c>
      <c r="N152" s="38" t="s">
        <v>1355</v>
      </c>
      <c r="O152" s="38" t="s">
        <v>159</v>
      </c>
      <c r="P152" s="38"/>
      <c r="Q152" s="38"/>
      <c r="R152" s="38"/>
      <c r="S152" s="41"/>
      <c r="T152" s="41"/>
      <c r="U152" s="42">
        <v>0.0</v>
      </c>
      <c r="V152" s="38" t="s">
        <v>175</v>
      </c>
      <c r="W152" s="38" t="s">
        <v>177</v>
      </c>
      <c r="X152" s="43"/>
    </row>
    <row r="153" ht="48.0" customHeight="1">
      <c r="A153" s="36">
        <v>152.0</v>
      </c>
      <c r="B153" s="38" t="s">
        <v>1356</v>
      </c>
      <c r="C153" s="38" t="s">
        <v>129</v>
      </c>
      <c r="D153" s="38" t="s">
        <v>241</v>
      </c>
      <c r="E153" s="38" t="s">
        <v>1349</v>
      </c>
      <c r="F153" s="38" t="s">
        <v>1357</v>
      </c>
      <c r="G153" s="38" t="s">
        <v>1358</v>
      </c>
      <c r="H153" s="38" t="s">
        <v>217</v>
      </c>
      <c r="I153" s="38" t="s">
        <v>248</v>
      </c>
      <c r="J153" s="38" t="s">
        <v>193</v>
      </c>
      <c r="K153" s="38" t="s">
        <v>1158</v>
      </c>
      <c r="L153" s="38" t="s">
        <v>1348</v>
      </c>
      <c r="M153" s="38" t="s">
        <v>1359</v>
      </c>
      <c r="N153" s="38" t="s">
        <v>1360</v>
      </c>
      <c r="O153" s="38" t="s">
        <v>159</v>
      </c>
      <c r="P153" s="38"/>
      <c r="Q153" s="38"/>
      <c r="R153" s="38"/>
      <c r="S153" s="41"/>
      <c r="T153" s="41"/>
      <c r="U153" s="42">
        <v>0.0</v>
      </c>
      <c r="V153" s="38" t="s">
        <v>175</v>
      </c>
      <c r="W153" s="38" t="s">
        <v>177</v>
      </c>
      <c r="X153" s="43"/>
    </row>
    <row r="154" ht="48.0" customHeight="1">
      <c r="A154" s="36">
        <v>153.0</v>
      </c>
      <c r="B154" s="38" t="s">
        <v>1361</v>
      </c>
      <c r="C154" s="38" t="s">
        <v>129</v>
      </c>
      <c r="D154" s="38" t="s">
        <v>241</v>
      </c>
      <c r="E154" s="38" t="s">
        <v>1349</v>
      </c>
      <c r="F154" s="38" t="s">
        <v>1362</v>
      </c>
      <c r="G154" s="38" t="s">
        <v>1363</v>
      </c>
      <c r="H154" s="38" t="s">
        <v>217</v>
      </c>
      <c r="I154" s="38" t="s">
        <v>248</v>
      </c>
      <c r="J154" s="38" t="s">
        <v>193</v>
      </c>
      <c r="K154" s="38" t="s">
        <v>1158</v>
      </c>
      <c r="L154" s="38" t="s">
        <v>1348</v>
      </c>
      <c r="M154" s="38" t="s">
        <v>1364</v>
      </c>
      <c r="N154" s="38" t="s">
        <v>1365</v>
      </c>
      <c r="O154" s="38" t="s">
        <v>159</v>
      </c>
      <c r="P154" s="38"/>
      <c r="Q154" s="38"/>
      <c r="R154" s="38"/>
      <c r="S154" s="41"/>
      <c r="T154" s="41"/>
      <c r="U154" s="42">
        <v>0.0</v>
      </c>
      <c r="V154" s="38" t="s">
        <v>175</v>
      </c>
      <c r="W154" s="38" t="s">
        <v>177</v>
      </c>
      <c r="X154" s="43"/>
    </row>
    <row r="155" ht="48.0" customHeight="1">
      <c r="A155" s="36">
        <v>154.0</v>
      </c>
      <c r="B155" s="38" t="s">
        <v>1366</v>
      </c>
      <c r="C155" s="38" t="s">
        <v>129</v>
      </c>
      <c r="D155" s="38" t="s">
        <v>241</v>
      </c>
      <c r="E155" s="38" t="s">
        <v>1367</v>
      </c>
      <c r="F155" s="38" t="s">
        <v>1368</v>
      </c>
      <c r="G155" s="38" t="s">
        <v>1369</v>
      </c>
      <c r="H155" s="38" t="s">
        <v>1370</v>
      </c>
      <c r="I155" s="38" t="s">
        <v>248</v>
      </c>
      <c r="J155" s="38" t="s">
        <v>232</v>
      </c>
      <c r="K155" s="38" t="s">
        <v>1158</v>
      </c>
      <c r="L155" s="38" t="s">
        <v>1361</v>
      </c>
      <c r="M155" s="38" t="s">
        <v>1371</v>
      </c>
      <c r="N155" s="38" t="s">
        <v>1372</v>
      </c>
      <c r="O155" s="38" t="s">
        <v>159</v>
      </c>
      <c r="P155" s="38"/>
      <c r="Q155" s="38"/>
      <c r="R155" s="38"/>
      <c r="S155" s="41"/>
      <c r="T155" s="41"/>
      <c r="U155" s="42">
        <v>0.0</v>
      </c>
      <c r="V155" s="38" t="s">
        <v>175</v>
      </c>
      <c r="W155" s="38" t="s">
        <v>177</v>
      </c>
      <c r="X155" s="43"/>
    </row>
    <row r="156" ht="48.0" customHeight="1">
      <c r="A156" s="36">
        <v>155.0</v>
      </c>
      <c r="B156" s="38" t="s">
        <v>1373</v>
      </c>
      <c r="C156" s="38" t="s">
        <v>129</v>
      </c>
      <c r="D156" s="38" t="s">
        <v>241</v>
      </c>
      <c r="E156" s="38" t="s">
        <v>1374</v>
      </c>
      <c r="F156" s="38" t="s">
        <v>1375</v>
      </c>
      <c r="G156" s="38" t="s">
        <v>1376</v>
      </c>
      <c r="H156" s="38" t="s">
        <v>1377</v>
      </c>
      <c r="I156" s="38" t="s">
        <v>248</v>
      </c>
      <c r="J156" s="38" t="s">
        <v>147</v>
      </c>
      <c r="K156" s="38" t="s">
        <v>1158</v>
      </c>
      <c r="L156" s="38" t="s">
        <v>1378</v>
      </c>
      <c r="M156" s="38" t="s">
        <v>1379</v>
      </c>
      <c r="N156" s="38" t="s">
        <v>1380</v>
      </c>
      <c r="O156" s="38" t="s">
        <v>159</v>
      </c>
      <c r="P156" s="38"/>
      <c r="Q156" s="38"/>
      <c r="R156" s="38"/>
      <c r="S156" s="41"/>
      <c r="T156" s="41"/>
      <c r="U156" s="42">
        <v>0.0</v>
      </c>
      <c r="V156" s="38" t="s">
        <v>175</v>
      </c>
      <c r="W156" s="38" t="s">
        <v>177</v>
      </c>
      <c r="X156" s="43"/>
    </row>
    <row r="157" ht="48.0" customHeight="1">
      <c r="A157" s="36">
        <v>156.0</v>
      </c>
      <c r="B157" s="38" t="s">
        <v>1381</v>
      </c>
      <c r="C157" s="38" t="s">
        <v>129</v>
      </c>
      <c r="D157" s="38" t="s">
        <v>241</v>
      </c>
      <c r="E157" s="38" t="s">
        <v>1374</v>
      </c>
      <c r="F157" s="38" t="s">
        <v>1382</v>
      </c>
      <c r="G157" s="38" t="s">
        <v>1383</v>
      </c>
      <c r="H157" s="38" t="s">
        <v>1377</v>
      </c>
      <c r="I157" s="38" t="s">
        <v>248</v>
      </c>
      <c r="J157" s="38" t="s">
        <v>232</v>
      </c>
      <c r="K157" s="38" t="s">
        <v>1158</v>
      </c>
      <c r="L157" s="38" t="s">
        <v>1384</v>
      </c>
      <c r="M157" s="38" t="s">
        <v>1385</v>
      </c>
      <c r="N157" s="38" t="s">
        <v>1386</v>
      </c>
      <c r="O157" s="38" t="s">
        <v>159</v>
      </c>
      <c r="P157" s="38"/>
      <c r="Q157" s="38"/>
      <c r="R157" s="38"/>
      <c r="S157" s="41"/>
      <c r="T157" s="41"/>
      <c r="U157" s="42">
        <v>0.0</v>
      </c>
      <c r="V157" s="38" t="s">
        <v>175</v>
      </c>
      <c r="W157" s="38" t="s">
        <v>177</v>
      </c>
      <c r="X157" s="43"/>
    </row>
    <row r="158" ht="48.0" customHeight="1">
      <c r="A158" s="36">
        <v>157.0</v>
      </c>
      <c r="B158" s="38" t="s">
        <v>1387</v>
      </c>
      <c r="C158" s="38" t="s">
        <v>1288</v>
      </c>
      <c r="D158" s="38" t="s">
        <v>241</v>
      </c>
      <c r="E158" s="38" t="s">
        <v>306</v>
      </c>
      <c r="F158" s="38" t="s">
        <v>1388</v>
      </c>
      <c r="G158" s="38" t="s">
        <v>1389</v>
      </c>
      <c r="H158" s="38" t="s">
        <v>1390</v>
      </c>
      <c r="I158" s="38" t="s">
        <v>824</v>
      </c>
      <c r="J158" s="38" t="s">
        <v>193</v>
      </c>
      <c r="K158" s="38" t="s">
        <v>1158</v>
      </c>
      <c r="L158" s="38" t="s">
        <v>1391</v>
      </c>
      <c r="M158" s="38" t="s">
        <v>1392</v>
      </c>
      <c r="N158" s="38" t="s">
        <v>1393</v>
      </c>
      <c r="O158" s="38" t="s">
        <v>159</v>
      </c>
      <c r="P158" s="38"/>
      <c r="Q158" s="38"/>
      <c r="R158" s="38"/>
      <c r="S158" s="41"/>
      <c r="T158" s="41"/>
      <c r="U158" s="42">
        <v>0.0</v>
      </c>
      <c r="V158" s="38" t="s">
        <v>175</v>
      </c>
      <c r="W158" s="38" t="s">
        <v>177</v>
      </c>
      <c r="X158" s="43"/>
    </row>
    <row r="159" ht="48.0" customHeight="1">
      <c r="A159" s="36">
        <v>158.0</v>
      </c>
      <c r="B159" s="38" t="s">
        <v>1394</v>
      </c>
      <c r="C159" s="38" t="s">
        <v>129</v>
      </c>
      <c r="D159" s="38" t="s">
        <v>241</v>
      </c>
      <c r="E159" s="38" t="s">
        <v>306</v>
      </c>
      <c r="F159" s="38" t="s">
        <v>1395</v>
      </c>
      <c r="G159" s="38" t="s">
        <v>1396</v>
      </c>
      <c r="H159" s="38" t="s">
        <v>1305</v>
      </c>
      <c r="I159" s="38" t="s">
        <v>1397</v>
      </c>
      <c r="J159" s="38" t="s">
        <v>232</v>
      </c>
      <c r="K159" s="38" t="s">
        <v>392</v>
      </c>
      <c r="L159" s="38" t="s">
        <v>1398</v>
      </c>
      <c r="M159" s="38" t="s">
        <v>1399</v>
      </c>
      <c r="N159" s="38" t="s">
        <v>1400</v>
      </c>
      <c r="O159" s="38" t="s">
        <v>159</v>
      </c>
      <c r="P159" s="38"/>
      <c r="Q159" s="38"/>
      <c r="R159" s="38"/>
      <c r="S159" s="41"/>
      <c r="T159" s="41"/>
      <c r="U159" s="42">
        <v>0.0</v>
      </c>
      <c r="V159" s="38" t="s">
        <v>175</v>
      </c>
      <c r="W159" s="38" t="s">
        <v>177</v>
      </c>
      <c r="X159" s="43"/>
    </row>
    <row r="160" ht="48.0" customHeight="1">
      <c r="A160" s="36">
        <v>159.0</v>
      </c>
      <c r="B160" s="38" t="s">
        <v>1401</v>
      </c>
      <c r="C160" s="38" t="s">
        <v>321</v>
      </c>
      <c r="D160" s="38" t="s">
        <v>241</v>
      </c>
      <c r="E160" s="38" t="s">
        <v>837</v>
      </c>
      <c r="F160" s="38" t="s">
        <v>1402</v>
      </c>
      <c r="G160" s="38" t="s">
        <v>1403</v>
      </c>
      <c r="H160" s="38" t="s">
        <v>1404</v>
      </c>
      <c r="I160" s="38" t="s">
        <v>1283</v>
      </c>
      <c r="J160" s="38" t="s">
        <v>147</v>
      </c>
      <c r="K160" s="38" t="s">
        <v>1158</v>
      </c>
      <c r="L160" s="38" t="s">
        <v>1405</v>
      </c>
      <c r="M160" s="38" t="s">
        <v>1406</v>
      </c>
      <c r="N160" s="38" t="s">
        <v>1407</v>
      </c>
      <c r="O160" s="38" t="s">
        <v>159</v>
      </c>
      <c r="P160" s="38"/>
      <c r="Q160" s="38"/>
      <c r="R160" s="38"/>
      <c r="S160" s="41"/>
      <c r="T160" s="41"/>
      <c r="U160" s="42">
        <v>0.0</v>
      </c>
      <c r="V160" s="38" t="s">
        <v>175</v>
      </c>
      <c r="W160" s="38" t="s">
        <v>177</v>
      </c>
      <c r="X160" s="43"/>
    </row>
    <row r="161" ht="48.0" customHeight="1">
      <c r="A161" s="36">
        <v>160.0</v>
      </c>
      <c r="B161" s="38" t="s">
        <v>1408</v>
      </c>
      <c r="C161" s="38" t="s">
        <v>321</v>
      </c>
      <c r="D161" s="38" t="s">
        <v>241</v>
      </c>
      <c r="E161" s="38" t="s">
        <v>107</v>
      </c>
      <c r="F161" s="38" t="s">
        <v>1409</v>
      </c>
      <c r="G161" s="38" t="s">
        <v>1410</v>
      </c>
      <c r="H161" s="38" t="s">
        <v>1411</v>
      </c>
      <c r="I161" s="38" t="s">
        <v>1412</v>
      </c>
      <c r="J161" s="38" t="s">
        <v>147</v>
      </c>
      <c r="K161" s="38" t="s">
        <v>1158</v>
      </c>
      <c r="L161" s="38" t="s">
        <v>1373</v>
      </c>
      <c r="M161" s="38" t="s">
        <v>1413</v>
      </c>
      <c r="N161" s="38" t="s">
        <v>1414</v>
      </c>
      <c r="O161" s="38" t="s">
        <v>159</v>
      </c>
      <c r="P161" s="38"/>
      <c r="Q161" s="38"/>
      <c r="R161" s="38"/>
      <c r="S161" s="41"/>
      <c r="T161" s="41"/>
      <c r="U161" s="42">
        <v>0.0</v>
      </c>
      <c r="V161" s="38" t="s">
        <v>175</v>
      </c>
      <c r="W161" s="38" t="s">
        <v>177</v>
      </c>
      <c r="X161" s="43"/>
    </row>
    <row r="162" ht="48.0" customHeight="1">
      <c r="A162" s="36">
        <v>161.0</v>
      </c>
      <c r="B162" s="38" t="s">
        <v>1415</v>
      </c>
      <c r="C162" s="38" t="s">
        <v>129</v>
      </c>
      <c r="D162" s="38" t="s">
        <v>249</v>
      </c>
      <c r="E162" s="38" t="s">
        <v>1416</v>
      </c>
      <c r="F162" s="38" t="s">
        <v>1417</v>
      </c>
      <c r="G162" s="38" t="s">
        <v>1418</v>
      </c>
      <c r="H162" s="38" t="s">
        <v>504</v>
      </c>
      <c r="I162" s="38" t="s">
        <v>248</v>
      </c>
      <c r="J162" s="38" t="s">
        <v>193</v>
      </c>
      <c r="K162" s="38" t="s">
        <v>679</v>
      </c>
      <c r="L162" s="38" t="s">
        <v>1419</v>
      </c>
      <c r="M162" s="38" t="s">
        <v>1420</v>
      </c>
      <c r="N162" s="38" t="s">
        <v>1421</v>
      </c>
      <c r="O162" s="38" t="s">
        <v>159</v>
      </c>
      <c r="P162" s="38"/>
      <c r="Q162" s="38"/>
      <c r="R162" s="38"/>
      <c r="S162" s="41"/>
      <c r="T162" s="41"/>
      <c r="U162" s="42">
        <v>0.0</v>
      </c>
      <c r="V162" s="38" t="s">
        <v>175</v>
      </c>
      <c r="W162" s="38" t="s">
        <v>177</v>
      </c>
      <c r="X162" s="43"/>
    </row>
    <row r="163" ht="48.0" customHeight="1">
      <c r="A163" s="36">
        <v>162.0</v>
      </c>
      <c r="B163" s="38" t="s">
        <v>1422</v>
      </c>
      <c r="C163" s="38" t="s">
        <v>129</v>
      </c>
      <c r="D163" s="38" t="s">
        <v>249</v>
      </c>
      <c r="E163" s="38" t="s">
        <v>1416</v>
      </c>
      <c r="F163" s="38" t="s">
        <v>1423</v>
      </c>
      <c r="G163" s="38" t="s">
        <v>1424</v>
      </c>
      <c r="H163" s="38" t="s">
        <v>504</v>
      </c>
      <c r="I163" s="38" t="s">
        <v>248</v>
      </c>
      <c r="J163" s="38" t="s">
        <v>193</v>
      </c>
      <c r="K163" s="38" t="s">
        <v>679</v>
      </c>
      <c r="L163" s="38" t="s">
        <v>1415</v>
      </c>
      <c r="M163" s="38" t="s">
        <v>1425</v>
      </c>
      <c r="N163" s="38" t="s">
        <v>1426</v>
      </c>
      <c r="O163" s="38" t="s">
        <v>159</v>
      </c>
      <c r="P163" s="38"/>
      <c r="Q163" s="38"/>
      <c r="R163" s="38"/>
      <c r="S163" s="41"/>
      <c r="T163" s="41"/>
      <c r="U163" s="42">
        <v>0.0</v>
      </c>
      <c r="V163" s="38" t="s">
        <v>175</v>
      </c>
      <c r="W163" s="38" t="s">
        <v>177</v>
      </c>
      <c r="X163" s="43"/>
    </row>
    <row r="164" ht="48.0" customHeight="1">
      <c r="A164" s="36">
        <v>163.0</v>
      </c>
      <c r="B164" s="38" t="s">
        <v>1427</v>
      </c>
      <c r="C164" s="38" t="s">
        <v>129</v>
      </c>
      <c r="D164" s="38" t="s">
        <v>249</v>
      </c>
      <c r="E164" s="38" t="s">
        <v>1416</v>
      </c>
      <c r="F164" s="38" t="s">
        <v>1428</v>
      </c>
      <c r="G164" s="38" t="s">
        <v>1429</v>
      </c>
      <c r="H164" s="38" t="s">
        <v>19</v>
      </c>
      <c r="I164" s="38" t="s">
        <v>248</v>
      </c>
      <c r="J164" s="38" t="s">
        <v>232</v>
      </c>
      <c r="K164" s="38" t="s">
        <v>679</v>
      </c>
      <c r="L164" s="38" t="s">
        <v>1422</v>
      </c>
      <c r="M164" s="38" t="s">
        <v>1430</v>
      </c>
      <c r="N164" s="38" t="s">
        <v>1431</v>
      </c>
      <c r="O164" s="38" t="s">
        <v>159</v>
      </c>
      <c r="P164" s="38"/>
      <c r="Q164" s="38"/>
      <c r="R164" s="38"/>
      <c r="S164" s="41"/>
      <c r="T164" s="41"/>
      <c r="U164" s="42">
        <v>0.0</v>
      </c>
      <c r="V164" s="38" t="s">
        <v>175</v>
      </c>
      <c r="W164" s="38" t="s">
        <v>177</v>
      </c>
      <c r="X164" s="43"/>
    </row>
    <row r="165" ht="48.0" customHeight="1">
      <c r="A165" s="36">
        <v>164.0</v>
      </c>
      <c r="B165" s="38" t="s">
        <v>1432</v>
      </c>
      <c r="C165" s="38" t="s">
        <v>129</v>
      </c>
      <c r="D165" s="38" t="s">
        <v>249</v>
      </c>
      <c r="E165" s="38" t="s">
        <v>1433</v>
      </c>
      <c r="F165" s="38" t="s">
        <v>1434</v>
      </c>
      <c r="G165" s="38" t="s">
        <v>1435</v>
      </c>
      <c r="H165" s="38" t="s">
        <v>1436</v>
      </c>
      <c r="I165" s="38" t="s">
        <v>145</v>
      </c>
      <c r="J165" s="38" t="s">
        <v>193</v>
      </c>
      <c r="K165" s="38" t="s">
        <v>679</v>
      </c>
      <c r="L165" s="38" t="s">
        <v>1437</v>
      </c>
      <c r="M165" s="38" t="s">
        <v>1438</v>
      </c>
      <c r="N165" s="38" t="s">
        <v>1439</v>
      </c>
      <c r="O165" s="38" t="s">
        <v>159</v>
      </c>
      <c r="P165" s="38"/>
      <c r="Q165" s="38"/>
      <c r="R165" s="38"/>
      <c r="S165" s="41"/>
      <c r="T165" s="41"/>
      <c r="U165" s="42">
        <v>0.0</v>
      </c>
      <c r="V165" s="38" t="s">
        <v>175</v>
      </c>
      <c r="W165" s="38" t="s">
        <v>177</v>
      </c>
      <c r="X165" s="43"/>
    </row>
    <row r="166" ht="48.0" customHeight="1">
      <c r="A166" s="36">
        <v>165.0</v>
      </c>
      <c r="B166" s="38" t="s">
        <v>1440</v>
      </c>
      <c r="C166" s="38" t="s">
        <v>129</v>
      </c>
      <c r="D166" s="38" t="s">
        <v>249</v>
      </c>
      <c r="E166" s="38" t="s">
        <v>1433</v>
      </c>
      <c r="F166" s="38" t="s">
        <v>1441</v>
      </c>
      <c r="G166" s="38" t="s">
        <v>1442</v>
      </c>
      <c r="H166" s="38" t="s">
        <v>1443</v>
      </c>
      <c r="I166" s="38" t="s">
        <v>145</v>
      </c>
      <c r="J166" s="38" t="s">
        <v>193</v>
      </c>
      <c r="K166" s="38" t="s">
        <v>679</v>
      </c>
      <c r="L166" s="38" t="s">
        <v>1444</v>
      </c>
      <c r="M166" s="38" t="s">
        <v>1445</v>
      </c>
      <c r="N166" s="38" t="s">
        <v>1446</v>
      </c>
      <c r="O166" s="38" t="s">
        <v>159</v>
      </c>
      <c r="P166" s="38"/>
      <c r="Q166" s="38"/>
      <c r="R166" s="38"/>
      <c r="S166" s="41"/>
      <c r="T166" s="41"/>
      <c r="U166" s="42">
        <v>0.0</v>
      </c>
      <c r="V166" s="38" t="s">
        <v>175</v>
      </c>
      <c r="W166" s="38" t="s">
        <v>177</v>
      </c>
      <c r="X166" s="43"/>
    </row>
    <row r="167" ht="48.0" customHeight="1">
      <c r="A167" s="36">
        <v>166.0</v>
      </c>
      <c r="B167" s="38" t="s">
        <v>1447</v>
      </c>
      <c r="C167" s="38" t="s">
        <v>129</v>
      </c>
      <c r="D167" s="38" t="s">
        <v>249</v>
      </c>
      <c r="E167" s="38" t="s">
        <v>1433</v>
      </c>
      <c r="F167" s="38" t="s">
        <v>1448</v>
      </c>
      <c r="G167" s="38" t="s">
        <v>1449</v>
      </c>
      <c r="H167" s="38" t="s">
        <v>1443</v>
      </c>
      <c r="I167" s="38" t="s">
        <v>248</v>
      </c>
      <c r="J167" s="38" t="s">
        <v>193</v>
      </c>
      <c r="K167" s="38" t="s">
        <v>679</v>
      </c>
      <c r="L167" s="38" t="s">
        <v>1450</v>
      </c>
      <c r="M167" s="38" t="s">
        <v>1451</v>
      </c>
      <c r="N167" s="38" t="s">
        <v>1452</v>
      </c>
      <c r="O167" s="38" t="s">
        <v>159</v>
      </c>
      <c r="P167" s="38"/>
      <c r="Q167" s="38"/>
      <c r="R167" s="38"/>
      <c r="S167" s="41"/>
      <c r="T167" s="41"/>
      <c r="U167" s="42">
        <v>0.0</v>
      </c>
      <c r="V167" s="38" t="s">
        <v>175</v>
      </c>
      <c r="W167" s="38" t="s">
        <v>177</v>
      </c>
      <c r="X167" s="43"/>
    </row>
    <row r="168" ht="48.0" customHeight="1">
      <c r="A168" s="36">
        <v>167.0</v>
      </c>
      <c r="B168" s="38" t="s">
        <v>1453</v>
      </c>
      <c r="C168" s="38" t="s">
        <v>129</v>
      </c>
      <c r="D168" s="38" t="s">
        <v>249</v>
      </c>
      <c r="E168" s="38" t="s">
        <v>1433</v>
      </c>
      <c r="F168" s="38" t="s">
        <v>1454</v>
      </c>
      <c r="G168" s="38" t="s">
        <v>1455</v>
      </c>
      <c r="H168" s="38" t="s">
        <v>1443</v>
      </c>
      <c r="I168" s="38" t="s">
        <v>248</v>
      </c>
      <c r="J168" s="38" t="s">
        <v>232</v>
      </c>
      <c r="K168" s="38" t="s">
        <v>679</v>
      </c>
      <c r="L168" s="38" t="s">
        <v>1432</v>
      </c>
      <c r="M168" s="38" t="s">
        <v>1456</v>
      </c>
      <c r="N168" s="38" t="s">
        <v>1457</v>
      </c>
      <c r="O168" s="38" t="s">
        <v>159</v>
      </c>
      <c r="P168" s="38"/>
      <c r="Q168" s="38"/>
      <c r="R168" s="38"/>
      <c r="S168" s="41"/>
      <c r="T168" s="41"/>
      <c r="U168" s="42">
        <v>0.0</v>
      </c>
      <c r="V168" s="38" t="s">
        <v>175</v>
      </c>
      <c r="W168" s="38" t="s">
        <v>177</v>
      </c>
      <c r="X168" s="43"/>
    </row>
    <row r="169" ht="48.0" customHeight="1">
      <c r="A169" s="36">
        <v>168.0</v>
      </c>
      <c r="B169" s="38" t="s">
        <v>1458</v>
      </c>
      <c r="C169" s="38" t="s">
        <v>129</v>
      </c>
      <c r="D169" s="38" t="s">
        <v>249</v>
      </c>
      <c r="E169" s="38" t="s">
        <v>1433</v>
      </c>
      <c r="F169" s="38" t="s">
        <v>1459</v>
      </c>
      <c r="G169" s="38" t="s">
        <v>1460</v>
      </c>
      <c r="H169" s="38" t="s">
        <v>678</v>
      </c>
      <c r="I169" s="38" t="s">
        <v>248</v>
      </c>
      <c r="J169" s="38" t="s">
        <v>193</v>
      </c>
      <c r="K169" s="38" t="s">
        <v>679</v>
      </c>
      <c r="L169" s="38" t="s">
        <v>1453</v>
      </c>
      <c r="M169" s="38" t="s">
        <v>1461</v>
      </c>
      <c r="N169" s="38" t="s">
        <v>1462</v>
      </c>
      <c r="O169" s="38" t="s">
        <v>159</v>
      </c>
      <c r="P169" s="38"/>
      <c r="Q169" s="38"/>
      <c r="R169" s="38"/>
      <c r="S169" s="41"/>
      <c r="T169" s="41"/>
      <c r="U169" s="42">
        <v>0.0</v>
      </c>
      <c r="V169" s="38" t="s">
        <v>175</v>
      </c>
      <c r="W169" s="38" t="s">
        <v>177</v>
      </c>
      <c r="X169" s="43"/>
    </row>
    <row r="170" ht="48.0" customHeight="1">
      <c r="A170" s="36">
        <v>169.0</v>
      </c>
      <c r="B170" s="38" t="s">
        <v>1463</v>
      </c>
      <c r="C170" s="38" t="s">
        <v>129</v>
      </c>
      <c r="D170" s="38" t="s">
        <v>249</v>
      </c>
      <c r="E170" s="38" t="s">
        <v>1464</v>
      </c>
      <c r="F170" s="38" t="s">
        <v>1465</v>
      </c>
      <c r="G170" s="38" t="s">
        <v>1466</v>
      </c>
      <c r="H170" s="38" t="s">
        <v>1467</v>
      </c>
      <c r="I170" s="38" t="s">
        <v>564</v>
      </c>
      <c r="J170" s="38" t="s">
        <v>147</v>
      </c>
      <c r="K170" s="38" t="s">
        <v>679</v>
      </c>
      <c r="L170" s="38" t="s">
        <v>675</v>
      </c>
      <c r="M170" s="38" t="s">
        <v>1468</v>
      </c>
      <c r="N170" s="38" t="s">
        <v>1469</v>
      </c>
      <c r="O170" s="38" t="s">
        <v>159</v>
      </c>
      <c r="P170" s="38"/>
      <c r="Q170" s="38"/>
      <c r="R170" s="38"/>
      <c r="S170" s="41"/>
      <c r="T170" s="41"/>
      <c r="U170" s="42">
        <v>0.0</v>
      </c>
      <c r="V170" s="38" t="s">
        <v>175</v>
      </c>
      <c r="W170" s="38" t="s">
        <v>177</v>
      </c>
      <c r="X170" s="43"/>
    </row>
    <row r="171" ht="48.0" customHeight="1">
      <c r="A171" s="36">
        <v>170.0</v>
      </c>
      <c r="B171" s="38" t="s">
        <v>1470</v>
      </c>
      <c r="C171" s="38" t="s">
        <v>129</v>
      </c>
      <c r="D171" s="38" t="s">
        <v>249</v>
      </c>
      <c r="E171" s="38" t="s">
        <v>1471</v>
      </c>
      <c r="F171" s="38" t="s">
        <v>1472</v>
      </c>
      <c r="G171" s="38" t="s">
        <v>1473</v>
      </c>
      <c r="H171" s="38" t="s">
        <v>514</v>
      </c>
      <c r="I171" s="38" t="s">
        <v>248</v>
      </c>
      <c r="J171" s="38" t="s">
        <v>147</v>
      </c>
      <c r="K171" s="38" t="s">
        <v>679</v>
      </c>
      <c r="L171" s="38" t="s">
        <v>1474</v>
      </c>
      <c r="M171" s="38" t="s">
        <v>1475</v>
      </c>
      <c r="N171" s="38" t="s">
        <v>1476</v>
      </c>
      <c r="O171" s="38" t="s">
        <v>159</v>
      </c>
      <c r="P171" s="38"/>
      <c r="Q171" s="38"/>
      <c r="R171" s="38"/>
      <c r="S171" s="41"/>
      <c r="T171" s="41"/>
      <c r="U171" s="42">
        <v>0.0</v>
      </c>
      <c r="V171" s="38" t="s">
        <v>175</v>
      </c>
      <c r="W171" s="38" t="s">
        <v>177</v>
      </c>
      <c r="X171" s="43"/>
    </row>
    <row r="172" ht="48.0" customHeight="1">
      <c r="A172" s="36">
        <v>171.0</v>
      </c>
      <c r="B172" s="38" t="s">
        <v>1477</v>
      </c>
      <c r="C172" s="38" t="s">
        <v>129</v>
      </c>
      <c r="D172" s="38" t="s">
        <v>249</v>
      </c>
      <c r="E172" s="38" t="s">
        <v>1471</v>
      </c>
      <c r="F172" s="38" t="s">
        <v>1478</v>
      </c>
      <c r="G172" s="38" t="s">
        <v>1479</v>
      </c>
      <c r="H172" s="38" t="s">
        <v>1480</v>
      </c>
      <c r="I172" s="38" t="s">
        <v>248</v>
      </c>
      <c r="J172" s="38" t="s">
        <v>193</v>
      </c>
      <c r="K172" s="38" t="s">
        <v>679</v>
      </c>
      <c r="L172" s="38" t="s">
        <v>1114</v>
      </c>
      <c r="M172" s="38" t="s">
        <v>1481</v>
      </c>
      <c r="N172" s="38" t="s">
        <v>1482</v>
      </c>
      <c r="O172" s="38" t="s">
        <v>159</v>
      </c>
      <c r="P172" s="38"/>
      <c r="Q172" s="38"/>
      <c r="R172" s="38"/>
      <c r="S172" s="41"/>
      <c r="T172" s="41"/>
      <c r="U172" s="42">
        <v>0.0</v>
      </c>
      <c r="V172" s="38" t="s">
        <v>175</v>
      </c>
      <c r="W172" s="38" t="s">
        <v>177</v>
      </c>
      <c r="X172" s="43"/>
    </row>
    <row r="173" ht="48.0" customHeight="1">
      <c r="A173" s="36">
        <v>172.0</v>
      </c>
      <c r="B173" s="38" t="s">
        <v>1483</v>
      </c>
      <c r="C173" s="38" t="s">
        <v>129</v>
      </c>
      <c r="D173" s="38" t="s">
        <v>249</v>
      </c>
      <c r="E173" s="38" t="s">
        <v>1471</v>
      </c>
      <c r="F173" s="38" t="s">
        <v>1484</v>
      </c>
      <c r="G173" s="38" t="s">
        <v>1485</v>
      </c>
      <c r="H173" s="38" t="s">
        <v>597</v>
      </c>
      <c r="I173" s="38" t="s">
        <v>248</v>
      </c>
      <c r="J173" s="38" t="s">
        <v>193</v>
      </c>
      <c r="K173" s="38" t="s">
        <v>679</v>
      </c>
      <c r="L173" s="38" t="s">
        <v>1486</v>
      </c>
      <c r="M173" s="38" t="s">
        <v>1487</v>
      </c>
      <c r="N173" s="38" t="s">
        <v>1488</v>
      </c>
      <c r="O173" s="38" t="s">
        <v>159</v>
      </c>
      <c r="P173" s="38"/>
      <c r="Q173" s="38"/>
      <c r="R173" s="38"/>
      <c r="S173" s="41"/>
      <c r="T173" s="41"/>
      <c r="U173" s="42">
        <v>0.0</v>
      </c>
      <c r="V173" s="38" t="s">
        <v>175</v>
      </c>
      <c r="W173" s="38" t="s">
        <v>177</v>
      </c>
      <c r="X173" s="43"/>
    </row>
    <row r="174" ht="48.0" customHeight="1">
      <c r="A174" s="36">
        <v>173.0</v>
      </c>
      <c r="B174" s="38" t="s">
        <v>1489</v>
      </c>
      <c r="C174" s="38" t="s">
        <v>129</v>
      </c>
      <c r="D174" s="38" t="s">
        <v>249</v>
      </c>
      <c r="E174" s="38" t="s">
        <v>1490</v>
      </c>
      <c r="F174" s="38" t="s">
        <v>1491</v>
      </c>
      <c r="G174" s="38" t="s">
        <v>1492</v>
      </c>
      <c r="H174" s="38" t="s">
        <v>217</v>
      </c>
      <c r="I174" s="38" t="s">
        <v>248</v>
      </c>
      <c r="J174" s="38" t="s">
        <v>193</v>
      </c>
      <c r="K174" s="38" t="s">
        <v>679</v>
      </c>
      <c r="L174" s="38" t="s">
        <v>665</v>
      </c>
      <c r="M174" s="38" t="s">
        <v>1493</v>
      </c>
      <c r="N174" s="38" t="s">
        <v>1494</v>
      </c>
      <c r="O174" s="38" t="s">
        <v>159</v>
      </c>
      <c r="P174" s="38"/>
      <c r="Q174" s="38"/>
      <c r="R174" s="38"/>
      <c r="S174" s="41"/>
      <c r="T174" s="41"/>
      <c r="U174" s="42">
        <v>0.0</v>
      </c>
      <c r="V174" s="38" t="s">
        <v>175</v>
      </c>
      <c r="W174" s="38" t="s">
        <v>177</v>
      </c>
      <c r="X174" s="43"/>
    </row>
    <row r="175" ht="48.0" customHeight="1">
      <c r="A175" s="36">
        <v>174.0</v>
      </c>
      <c r="B175" s="38" t="s">
        <v>1495</v>
      </c>
      <c r="C175" s="38" t="s">
        <v>129</v>
      </c>
      <c r="D175" s="38" t="s">
        <v>249</v>
      </c>
      <c r="E175" s="38" t="s">
        <v>1490</v>
      </c>
      <c r="F175" s="38" t="s">
        <v>1496</v>
      </c>
      <c r="G175" s="38" t="s">
        <v>1497</v>
      </c>
      <c r="H175" s="38" t="s">
        <v>217</v>
      </c>
      <c r="I175" s="38" t="s">
        <v>248</v>
      </c>
      <c r="J175" s="38" t="s">
        <v>193</v>
      </c>
      <c r="K175" s="38" t="s">
        <v>679</v>
      </c>
      <c r="L175" s="38" t="s">
        <v>665</v>
      </c>
      <c r="M175" s="38" t="s">
        <v>1498</v>
      </c>
      <c r="N175" s="38" t="s">
        <v>1499</v>
      </c>
      <c r="O175" s="38" t="s">
        <v>159</v>
      </c>
      <c r="P175" s="38"/>
      <c r="Q175" s="38"/>
      <c r="R175" s="38"/>
      <c r="S175" s="41"/>
      <c r="T175" s="41"/>
      <c r="U175" s="42">
        <v>0.0</v>
      </c>
      <c r="V175" s="38" t="s">
        <v>175</v>
      </c>
      <c r="W175" s="38" t="s">
        <v>177</v>
      </c>
      <c r="X175" s="43"/>
    </row>
    <row r="176" ht="48.0" customHeight="1">
      <c r="A176" s="36">
        <v>175.0</v>
      </c>
      <c r="B176" s="38" t="s">
        <v>1500</v>
      </c>
      <c r="C176" s="38" t="s">
        <v>129</v>
      </c>
      <c r="D176" s="38" t="s">
        <v>249</v>
      </c>
      <c r="E176" s="38" t="s">
        <v>1490</v>
      </c>
      <c r="F176" s="38" t="s">
        <v>1501</v>
      </c>
      <c r="G176" s="38" t="s">
        <v>1502</v>
      </c>
      <c r="H176" s="38" t="s">
        <v>217</v>
      </c>
      <c r="I176" s="38" t="s">
        <v>248</v>
      </c>
      <c r="J176" s="38" t="s">
        <v>232</v>
      </c>
      <c r="K176" s="38" t="s">
        <v>679</v>
      </c>
      <c r="L176" s="38" t="s">
        <v>665</v>
      </c>
      <c r="M176" s="38" t="s">
        <v>1503</v>
      </c>
      <c r="N176" s="38" t="s">
        <v>1504</v>
      </c>
      <c r="O176" s="38" t="s">
        <v>159</v>
      </c>
      <c r="P176" s="38"/>
      <c r="Q176" s="38"/>
      <c r="R176" s="38"/>
      <c r="S176" s="41"/>
      <c r="T176" s="41"/>
      <c r="U176" s="42">
        <v>0.0</v>
      </c>
      <c r="V176" s="38" t="s">
        <v>175</v>
      </c>
      <c r="W176" s="38" t="s">
        <v>177</v>
      </c>
      <c r="X176" s="43"/>
    </row>
    <row r="177" ht="48.0" customHeight="1">
      <c r="A177" s="36">
        <v>176.0</v>
      </c>
      <c r="B177" s="38" t="s">
        <v>1505</v>
      </c>
      <c r="C177" s="38" t="s">
        <v>129</v>
      </c>
      <c r="D177" s="38" t="s">
        <v>249</v>
      </c>
      <c r="E177" s="38" t="s">
        <v>1490</v>
      </c>
      <c r="F177" s="38" t="s">
        <v>1506</v>
      </c>
      <c r="G177" s="38" t="s">
        <v>1507</v>
      </c>
      <c r="H177" s="38" t="s">
        <v>217</v>
      </c>
      <c r="I177" s="38" t="s">
        <v>248</v>
      </c>
      <c r="J177" s="38" t="s">
        <v>193</v>
      </c>
      <c r="K177" s="38" t="s">
        <v>679</v>
      </c>
      <c r="L177" s="38" t="s">
        <v>1508</v>
      </c>
      <c r="M177" s="38" t="s">
        <v>1509</v>
      </c>
      <c r="N177" s="38" t="s">
        <v>1510</v>
      </c>
      <c r="O177" s="38" t="s">
        <v>159</v>
      </c>
      <c r="P177" s="38"/>
      <c r="Q177" s="38"/>
      <c r="R177" s="38"/>
      <c r="S177" s="41"/>
      <c r="T177" s="41"/>
      <c r="U177" s="42">
        <v>0.0</v>
      </c>
      <c r="V177" s="38" t="s">
        <v>175</v>
      </c>
      <c r="W177" s="38" t="s">
        <v>177</v>
      </c>
      <c r="X177" s="43"/>
    </row>
    <row r="178" ht="48.0" customHeight="1">
      <c r="A178" s="36">
        <v>177.0</v>
      </c>
      <c r="B178" s="38" t="s">
        <v>1511</v>
      </c>
      <c r="C178" s="38" t="s">
        <v>129</v>
      </c>
      <c r="D178" s="38" t="s">
        <v>249</v>
      </c>
      <c r="E178" s="38" t="s">
        <v>1512</v>
      </c>
      <c r="F178" s="38" t="s">
        <v>1513</v>
      </c>
      <c r="G178" s="38" t="s">
        <v>1514</v>
      </c>
      <c r="H178" s="38" t="s">
        <v>1515</v>
      </c>
      <c r="I178" s="38" t="s">
        <v>248</v>
      </c>
      <c r="J178" s="38" t="s">
        <v>147</v>
      </c>
      <c r="K178" s="38" t="s">
        <v>679</v>
      </c>
      <c r="L178" s="38" t="s">
        <v>1516</v>
      </c>
      <c r="M178" s="38" t="s">
        <v>1517</v>
      </c>
      <c r="N178" s="38" t="s">
        <v>1518</v>
      </c>
      <c r="O178" s="38" t="s">
        <v>159</v>
      </c>
      <c r="P178" s="38"/>
      <c r="Q178" s="38"/>
      <c r="R178" s="38"/>
      <c r="S178" s="41"/>
      <c r="T178" s="41"/>
      <c r="U178" s="42">
        <v>0.0</v>
      </c>
      <c r="V178" s="38" t="s">
        <v>175</v>
      </c>
      <c r="W178" s="38" t="s">
        <v>177</v>
      </c>
      <c r="X178" s="43"/>
    </row>
    <row r="179" ht="48.0" customHeight="1">
      <c r="A179" s="36">
        <v>178.0</v>
      </c>
      <c r="B179" s="38" t="s">
        <v>1519</v>
      </c>
      <c r="C179" s="38" t="s">
        <v>129</v>
      </c>
      <c r="D179" s="38" t="s">
        <v>249</v>
      </c>
      <c r="E179" s="38" t="s">
        <v>1512</v>
      </c>
      <c r="F179" s="38" t="s">
        <v>1520</v>
      </c>
      <c r="G179" s="38" t="s">
        <v>1521</v>
      </c>
      <c r="H179" s="38" t="s">
        <v>1522</v>
      </c>
      <c r="I179" s="38" t="s">
        <v>248</v>
      </c>
      <c r="J179" s="38" t="s">
        <v>147</v>
      </c>
      <c r="K179" s="38" t="s">
        <v>679</v>
      </c>
      <c r="L179" s="38" t="s">
        <v>1505</v>
      </c>
      <c r="M179" s="38" t="s">
        <v>1523</v>
      </c>
      <c r="N179" s="38" t="s">
        <v>1524</v>
      </c>
      <c r="O179" s="38" t="s">
        <v>159</v>
      </c>
      <c r="P179" s="38"/>
      <c r="Q179" s="38"/>
      <c r="R179" s="38"/>
      <c r="S179" s="41"/>
      <c r="T179" s="41"/>
      <c r="U179" s="42">
        <v>0.0</v>
      </c>
      <c r="V179" s="38" t="s">
        <v>175</v>
      </c>
      <c r="W179" s="38" t="s">
        <v>177</v>
      </c>
      <c r="X179" s="43"/>
    </row>
    <row r="180" ht="48.0" customHeight="1">
      <c r="A180" s="36">
        <v>179.0</v>
      </c>
      <c r="B180" s="38" t="s">
        <v>1525</v>
      </c>
      <c r="C180" s="38" t="s">
        <v>129</v>
      </c>
      <c r="D180" s="38" t="s">
        <v>249</v>
      </c>
      <c r="E180" s="38" t="s">
        <v>1512</v>
      </c>
      <c r="F180" s="38" t="s">
        <v>1526</v>
      </c>
      <c r="G180" s="38" t="s">
        <v>1527</v>
      </c>
      <c r="H180" s="38" t="s">
        <v>1528</v>
      </c>
      <c r="I180" s="38" t="s">
        <v>248</v>
      </c>
      <c r="J180" s="38" t="s">
        <v>193</v>
      </c>
      <c r="K180" s="38" t="s">
        <v>679</v>
      </c>
      <c r="L180" s="38" t="s">
        <v>1529</v>
      </c>
      <c r="M180" s="38" t="s">
        <v>1530</v>
      </c>
      <c r="N180" s="38" t="s">
        <v>1531</v>
      </c>
      <c r="O180" s="38" t="s">
        <v>159</v>
      </c>
      <c r="P180" s="38"/>
      <c r="Q180" s="38"/>
      <c r="R180" s="38"/>
      <c r="S180" s="41"/>
      <c r="T180" s="41"/>
      <c r="U180" s="42">
        <v>0.0</v>
      </c>
      <c r="V180" s="38" t="s">
        <v>175</v>
      </c>
      <c r="W180" s="38" t="s">
        <v>177</v>
      </c>
      <c r="X180" s="43"/>
    </row>
    <row r="181" ht="48.0" customHeight="1">
      <c r="A181" s="36">
        <v>180.0</v>
      </c>
      <c r="B181" s="38" t="s">
        <v>1532</v>
      </c>
      <c r="C181" s="38" t="s">
        <v>129</v>
      </c>
      <c r="D181" s="38" t="s">
        <v>249</v>
      </c>
      <c r="E181" s="38" t="s">
        <v>10</v>
      </c>
      <c r="F181" s="38" t="s">
        <v>1533</v>
      </c>
      <c r="G181" s="38" t="s">
        <v>1534</v>
      </c>
      <c r="H181" s="38" t="s">
        <v>514</v>
      </c>
      <c r="I181" s="38" t="s">
        <v>248</v>
      </c>
      <c r="J181" s="38" t="s">
        <v>193</v>
      </c>
      <c r="K181" s="38" t="s">
        <v>679</v>
      </c>
      <c r="L181" s="38" t="s">
        <v>1470</v>
      </c>
      <c r="M181" s="38" t="s">
        <v>1535</v>
      </c>
      <c r="N181" s="38" t="s">
        <v>1536</v>
      </c>
      <c r="O181" s="38" t="s">
        <v>159</v>
      </c>
      <c r="P181" s="38"/>
      <c r="Q181" s="38"/>
      <c r="R181" s="38"/>
      <c r="S181" s="41"/>
      <c r="T181" s="41"/>
      <c r="U181" s="42">
        <v>0.0</v>
      </c>
      <c r="V181" s="38" t="s">
        <v>175</v>
      </c>
      <c r="W181" s="38" t="s">
        <v>177</v>
      </c>
      <c r="X181" s="43"/>
    </row>
    <row r="182" ht="48.0" customHeight="1">
      <c r="A182" s="36">
        <v>181.0</v>
      </c>
      <c r="B182" s="38" t="s">
        <v>1537</v>
      </c>
      <c r="C182" s="38" t="s">
        <v>129</v>
      </c>
      <c r="D182" s="38" t="s">
        <v>249</v>
      </c>
      <c r="E182" s="38" t="s">
        <v>10</v>
      </c>
      <c r="F182" s="38" t="s">
        <v>1538</v>
      </c>
      <c r="G182" s="38" t="s">
        <v>1539</v>
      </c>
      <c r="H182" s="38" t="s">
        <v>514</v>
      </c>
      <c r="I182" s="38" t="s">
        <v>248</v>
      </c>
      <c r="J182" s="38" t="s">
        <v>193</v>
      </c>
      <c r="K182" s="38" t="s">
        <v>679</v>
      </c>
      <c r="L182" s="38" t="s">
        <v>1532</v>
      </c>
      <c r="M182" s="38" t="s">
        <v>1540</v>
      </c>
      <c r="N182" s="38" t="s">
        <v>1541</v>
      </c>
      <c r="O182" s="38" t="s">
        <v>159</v>
      </c>
      <c r="P182" s="38"/>
      <c r="Q182" s="38"/>
      <c r="R182" s="38"/>
      <c r="S182" s="41"/>
      <c r="T182" s="41"/>
      <c r="U182" s="42">
        <v>0.0</v>
      </c>
      <c r="V182" s="38" t="s">
        <v>175</v>
      </c>
      <c r="W182" s="38" t="s">
        <v>177</v>
      </c>
      <c r="X182" s="43"/>
    </row>
    <row r="183" ht="48.0" customHeight="1">
      <c r="A183" s="36">
        <v>182.0</v>
      </c>
      <c r="B183" s="38" t="s">
        <v>1542</v>
      </c>
      <c r="C183" s="38" t="s">
        <v>129</v>
      </c>
      <c r="D183" s="38" t="s">
        <v>249</v>
      </c>
      <c r="E183" s="38" t="s">
        <v>10</v>
      </c>
      <c r="F183" s="38" t="s">
        <v>1543</v>
      </c>
      <c r="G183" s="38" t="s">
        <v>1544</v>
      </c>
      <c r="H183" s="38" t="s">
        <v>217</v>
      </c>
      <c r="I183" s="38" t="s">
        <v>248</v>
      </c>
      <c r="J183" s="38" t="s">
        <v>193</v>
      </c>
      <c r="K183" s="38" t="s">
        <v>679</v>
      </c>
      <c r="L183" s="38" t="s">
        <v>1537</v>
      </c>
      <c r="M183" s="38" t="s">
        <v>1545</v>
      </c>
      <c r="N183" s="38" t="s">
        <v>1546</v>
      </c>
      <c r="O183" s="38" t="s">
        <v>159</v>
      </c>
      <c r="P183" s="38"/>
      <c r="Q183" s="38"/>
      <c r="R183" s="38"/>
      <c r="S183" s="41"/>
      <c r="T183" s="41"/>
      <c r="U183" s="42">
        <v>0.0</v>
      </c>
      <c r="V183" s="38" t="s">
        <v>175</v>
      </c>
      <c r="W183" s="38" t="s">
        <v>177</v>
      </c>
      <c r="X183" s="43"/>
    </row>
    <row r="184" ht="48.0" customHeight="1">
      <c r="A184" s="36">
        <v>183.0</v>
      </c>
      <c r="B184" s="38" t="s">
        <v>1547</v>
      </c>
      <c r="C184" s="38" t="s">
        <v>129</v>
      </c>
      <c r="D184" s="38" t="s">
        <v>249</v>
      </c>
      <c r="E184" s="38" t="s">
        <v>10</v>
      </c>
      <c r="F184" s="38" t="s">
        <v>1129</v>
      </c>
      <c r="G184" s="38" t="s">
        <v>1548</v>
      </c>
      <c r="H184" s="38" t="s">
        <v>514</v>
      </c>
      <c r="I184" s="38" t="s">
        <v>248</v>
      </c>
      <c r="J184" s="38" t="s">
        <v>232</v>
      </c>
      <c r="K184" s="38" t="s">
        <v>679</v>
      </c>
      <c r="L184" s="38" t="s">
        <v>1549</v>
      </c>
      <c r="M184" s="38" t="s">
        <v>1550</v>
      </c>
      <c r="N184" s="38" t="s">
        <v>1551</v>
      </c>
      <c r="O184" s="38" t="s">
        <v>159</v>
      </c>
      <c r="P184" s="38"/>
      <c r="Q184" s="38"/>
      <c r="R184" s="38"/>
      <c r="S184" s="41"/>
      <c r="T184" s="41"/>
      <c r="U184" s="42">
        <v>0.0</v>
      </c>
      <c r="V184" s="38" t="s">
        <v>175</v>
      </c>
      <c r="W184" s="38" t="s">
        <v>177</v>
      </c>
      <c r="X184" s="43"/>
    </row>
    <row r="185" ht="48.0" customHeight="1">
      <c r="A185" s="36">
        <v>184.0</v>
      </c>
      <c r="B185" s="38" t="s">
        <v>1552</v>
      </c>
      <c r="C185" s="38" t="s">
        <v>321</v>
      </c>
      <c r="D185" s="38" t="s">
        <v>249</v>
      </c>
      <c r="E185" s="38" t="s">
        <v>142</v>
      </c>
      <c r="F185" s="38" t="s">
        <v>1553</v>
      </c>
      <c r="G185" s="38" t="s">
        <v>1554</v>
      </c>
      <c r="H185" s="38" t="s">
        <v>823</v>
      </c>
      <c r="I185" s="38" t="s">
        <v>824</v>
      </c>
      <c r="J185" s="38" t="s">
        <v>147</v>
      </c>
      <c r="K185" s="38" t="s">
        <v>679</v>
      </c>
      <c r="L185" s="38" t="s">
        <v>825</v>
      </c>
      <c r="M185" s="38" t="s">
        <v>1555</v>
      </c>
      <c r="N185" s="38" t="s">
        <v>1556</v>
      </c>
      <c r="O185" s="38" t="s">
        <v>159</v>
      </c>
      <c r="P185" s="38"/>
      <c r="Q185" s="38"/>
      <c r="R185" s="38"/>
      <c r="S185" s="41"/>
      <c r="T185" s="41"/>
      <c r="U185" s="42">
        <v>0.0</v>
      </c>
      <c r="V185" s="38" t="s">
        <v>175</v>
      </c>
      <c r="W185" s="38" t="s">
        <v>177</v>
      </c>
      <c r="X185" s="43"/>
    </row>
    <row r="186" ht="48.0" customHeight="1">
      <c r="A186" s="36">
        <v>185.0</v>
      </c>
      <c r="B186" s="38" t="s">
        <v>1557</v>
      </c>
      <c r="C186" s="38" t="s">
        <v>321</v>
      </c>
      <c r="D186" s="38" t="s">
        <v>249</v>
      </c>
      <c r="E186" s="38" t="s">
        <v>837</v>
      </c>
      <c r="F186" s="38" t="s">
        <v>1558</v>
      </c>
      <c r="G186" s="38" t="s">
        <v>1559</v>
      </c>
      <c r="H186" s="38" t="s">
        <v>589</v>
      </c>
      <c r="I186" s="38" t="s">
        <v>1283</v>
      </c>
      <c r="J186" s="38" t="s">
        <v>147</v>
      </c>
      <c r="K186" s="38" t="s">
        <v>679</v>
      </c>
      <c r="L186" s="38" t="s">
        <v>1560</v>
      </c>
      <c r="M186" s="38" t="s">
        <v>1561</v>
      </c>
      <c r="N186" s="38" t="s">
        <v>1562</v>
      </c>
      <c r="O186" s="38" t="s">
        <v>159</v>
      </c>
      <c r="P186" s="38"/>
      <c r="Q186" s="38"/>
      <c r="R186" s="38"/>
      <c r="S186" s="41"/>
      <c r="T186" s="41"/>
      <c r="U186" s="42">
        <v>0.0</v>
      </c>
      <c r="V186" s="38" t="s">
        <v>175</v>
      </c>
      <c r="W186" s="38" t="s">
        <v>177</v>
      </c>
      <c r="X186" s="43"/>
    </row>
    <row r="187" ht="48.0" customHeight="1">
      <c r="A187" s="36">
        <v>186.0</v>
      </c>
      <c r="B187" s="38" t="s">
        <v>1563</v>
      </c>
      <c r="C187" s="38" t="s">
        <v>129</v>
      </c>
      <c r="D187" s="38" t="s">
        <v>252</v>
      </c>
      <c r="E187" s="38" t="s">
        <v>131</v>
      </c>
      <c r="F187" s="38" t="s">
        <v>1564</v>
      </c>
      <c r="G187" s="38" t="s">
        <v>1565</v>
      </c>
      <c r="H187" s="38" t="s">
        <v>143</v>
      </c>
      <c r="I187" s="38" t="s">
        <v>626</v>
      </c>
      <c r="J187" s="38" t="s">
        <v>147</v>
      </c>
      <c r="K187" s="38" t="s">
        <v>627</v>
      </c>
      <c r="L187" s="38" t="s">
        <v>1566</v>
      </c>
      <c r="M187" s="38" t="s">
        <v>1567</v>
      </c>
      <c r="N187" s="38" t="s">
        <v>1568</v>
      </c>
      <c r="O187" s="38" t="s">
        <v>159</v>
      </c>
      <c r="P187" s="38"/>
      <c r="Q187" s="38"/>
      <c r="R187" s="38"/>
      <c r="S187" s="41"/>
      <c r="T187" s="41"/>
      <c r="U187" s="42">
        <v>0.0</v>
      </c>
      <c r="V187" s="38" t="s">
        <v>175</v>
      </c>
      <c r="W187" s="38" t="s">
        <v>177</v>
      </c>
      <c r="X187" s="43"/>
    </row>
    <row r="188" ht="48.0" customHeight="1">
      <c r="A188" s="36">
        <v>187.0</v>
      </c>
      <c r="B188" s="38" t="s">
        <v>1569</v>
      </c>
      <c r="C188" s="38" t="s">
        <v>129</v>
      </c>
      <c r="D188" s="38" t="s">
        <v>252</v>
      </c>
      <c r="E188" s="38" t="s">
        <v>618</v>
      </c>
      <c r="F188" s="38" t="s">
        <v>1570</v>
      </c>
      <c r="G188" s="38" t="s">
        <v>1571</v>
      </c>
      <c r="H188" s="38" t="s">
        <v>143</v>
      </c>
      <c r="I188" s="38" t="s">
        <v>626</v>
      </c>
      <c r="J188" s="38" t="s">
        <v>147</v>
      </c>
      <c r="K188" s="38" t="s">
        <v>627</v>
      </c>
      <c r="L188" s="38" t="s">
        <v>623</v>
      </c>
      <c r="M188" s="38" t="s">
        <v>1572</v>
      </c>
      <c r="N188" s="38" t="s">
        <v>1573</v>
      </c>
      <c r="O188" s="38" t="s">
        <v>159</v>
      </c>
      <c r="P188" s="38"/>
      <c r="Q188" s="38"/>
      <c r="R188" s="38"/>
      <c r="S188" s="41"/>
      <c r="T188" s="41"/>
      <c r="U188" s="42">
        <v>0.0</v>
      </c>
      <c r="V188" s="38" t="s">
        <v>175</v>
      </c>
      <c r="W188" s="38" t="s">
        <v>177</v>
      </c>
      <c r="X188" s="43"/>
    </row>
    <row r="189" ht="48.0" customHeight="1">
      <c r="A189" s="36">
        <v>188.0</v>
      </c>
      <c r="B189" s="38" t="s">
        <v>1574</v>
      </c>
      <c r="C189" s="38" t="s">
        <v>129</v>
      </c>
      <c r="D189" s="38" t="s">
        <v>252</v>
      </c>
      <c r="E189" s="38" t="s">
        <v>618</v>
      </c>
      <c r="F189" s="38" t="s">
        <v>1575</v>
      </c>
      <c r="G189" s="38" t="s">
        <v>1576</v>
      </c>
      <c r="H189" s="38" t="s">
        <v>143</v>
      </c>
      <c r="I189" s="38" t="s">
        <v>626</v>
      </c>
      <c r="J189" s="38" t="s">
        <v>147</v>
      </c>
      <c r="K189" s="38" t="s">
        <v>627</v>
      </c>
      <c r="L189" s="38" t="s">
        <v>1577</v>
      </c>
      <c r="M189" s="38" t="s">
        <v>1578</v>
      </c>
      <c r="N189" s="38" t="s">
        <v>1579</v>
      </c>
      <c r="O189" s="38" t="s">
        <v>159</v>
      </c>
      <c r="P189" s="38"/>
      <c r="Q189" s="38"/>
      <c r="R189" s="38"/>
      <c r="S189" s="41"/>
      <c r="T189" s="41"/>
      <c r="U189" s="42">
        <v>0.0</v>
      </c>
      <c r="V189" s="38" t="s">
        <v>175</v>
      </c>
      <c r="W189" s="38" t="s">
        <v>177</v>
      </c>
      <c r="X189" s="43"/>
    </row>
    <row r="190" ht="48.0" customHeight="1">
      <c r="A190" s="36">
        <v>189.0</v>
      </c>
      <c r="B190" s="38" t="s">
        <v>1580</v>
      </c>
      <c r="C190" s="38" t="s">
        <v>129</v>
      </c>
      <c r="D190" s="38" t="s">
        <v>252</v>
      </c>
      <c r="E190" s="38" t="s">
        <v>1581</v>
      </c>
      <c r="F190" s="38" t="s">
        <v>1582</v>
      </c>
      <c r="G190" s="38" t="s">
        <v>1583</v>
      </c>
      <c r="H190" s="38" t="s">
        <v>143</v>
      </c>
      <c r="I190" s="38" t="s">
        <v>626</v>
      </c>
      <c r="J190" s="38" t="s">
        <v>147</v>
      </c>
      <c r="K190" s="38" t="s">
        <v>627</v>
      </c>
      <c r="L190" s="38" t="s">
        <v>1584</v>
      </c>
      <c r="M190" s="38" t="s">
        <v>1585</v>
      </c>
      <c r="N190" s="38" t="s">
        <v>1586</v>
      </c>
      <c r="O190" s="38" t="s">
        <v>159</v>
      </c>
      <c r="P190" s="38"/>
      <c r="Q190" s="38"/>
      <c r="R190" s="38"/>
      <c r="S190" s="41"/>
      <c r="T190" s="41"/>
      <c r="U190" s="42">
        <v>0.0</v>
      </c>
      <c r="V190" s="38" t="s">
        <v>175</v>
      </c>
      <c r="W190" s="38" t="s">
        <v>177</v>
      </c>
      <c r="X190" s="43"/>
    </row>
    <row r="191" ht="48.0" customHeight="1">
      <c r="A191" s="36">
        <v>190.0</v>
      </c>
      <c r="B191" s="38" t="s">
        <v>1587</v>
      </c>
      <c r="C191" s="38" t="s">
        <v>129</v>
      </c>
      <c r="D191" s="38" t="s">
        <v>252</v>
      </c>
      <c r="E191" s="38" t="s">
        <v>5</v>
      </c>
      <c r="F191" s="38" t="s">
        <v>1588</v>
      </c>
      <c r="G191" s="38" t="s">
        <v>1589</v>
      </c>
      <c r="H191" s="38" t="s">
        <v>692</v>
      </c>
      <c r="I191" s="38" t="s">
        <v>626</v>
      </c>
      <c r="J191" s="38" t="s">
        <v>147</v>
      </c>
      <c r="K191" s="38" t="s">
        <v>627</v>
      </c>
      <c r="L191" s="38" t="s">
        <v>1590</v>
      </c>
      <c r="M191" s="38" t="s">
        <v>1591</v>
      </c>
      <c r="N191" s="38" t="s">
        <v>1592</v>
      </c>
      <c r="O191" s="38" t="s">
        <v>159</v>
      </c>
      <c r="P191" s="38"/>
      <c r="Q191" s="38"/>
      <c r="R191" s="38"/>
      <c r="S191" s="41"/>
      <c r="T191" s="41"/>
      <c r="U191" s="42">
        <v>0.0</v>
      </c>
      <c r="V191" s="38" t="s">
        <v>175</v>
      </c>
      <c r="W191" s="38" t="s">
        <v>177</v>
      </c>
      <c r="X191" s="43"/>
    </row>
    <row r="192" ht="48.0" customHeight="1">
      <c r="A192" s="36">
        <v>191.0</v>
      </c>
      <c r="B192" s="38" t="s">
        <v>1593</v>
      </c>
      <c r="C192" s="38" t="s">
        <v>129</v>
      </c>
      <c r="D192" s="38" t="s">
        <v>252</v>
      </c>
      <c r="E192" s="38" t="s">
        <v>5</v>
      </c>
      <c r="F192" s="38" t="s">
        <v>1594</v>
      </c>
      <c r="G192" s="38" t="s">
        <v>1595</v>
      </c>
      <c r="H192" s="38" t="s">
        <v>460</v>
      </c>
      <c r="I192" s="38" t="s">
        <v>626</v>
      </c>
      <c r="J192" s="38" t="s">
        <v>147</v>
      </c>
      <c r="K192" s="38" t="s">
        <v>627</v>
      </c>
      <c r="L192" s="38" t="s">
        <v>1596</v>
      </c>
      <c r="M192" s="38" t="s">
        <v>1597</v>
      </c>
      <c r="N192" s="38" t="s">
        <v>1598</v>
      </c>
      <c r="O192" s="38" t="s">
        <v>159</v>
      </c>
      <c r="P192" s="38"/>
      <c r="Q192" s="38"/>
      <c r="R192" s="38"/>
      <c r="S192" s="41"/>
      <c r="T192" s="41"/>
      <c r="U192" s="42">
        <v>0.0</v>
      </c>
      <c r="V192" s="38" t="s">
        <v>175</v>
      </c>
      <c r="W192" s="38" t="s">
        <v>177</v>
      </c>
      <c r="X192" s="43"/>
    </row>
    <row r="193" ht="48.0" customHeight="1">
      <c r="A193" s="36">
        <v>192.0</v>
      </c>
      <c r="B193" s="38" t="s">
        <v>1599</v>
      </c>
      <c r="C193" s="38" t="s">
        <v>129</v>
      </c>
      <c r="D193" s="38" t="s">
        <v>252</v>
      </c>
      <c r="E193" s="38" t="s">
        <v>5</v>
      </c>
      <c r="F193" s="38" t="s">
        <v>1600</v>
      </c>
      <c r="G193" s="38" t="s">
        <v>1601</v>
      </c>
      <c r="H193" s="38" t="s">
        <v>460</v>
      </c>
      <c r="I193" s="38" t="s">
        <v>626</v>
      </c>
      <c r="J193" s="38" t="s">
        <v>193</v>
      </c>
      <c r="K193" s="38" t="s">
        <v>627</v>
      </c>
      <c r="L193" s="38" t="s">
        <v>1602</v>
      </c>
      <c r="M193" s="38" t="s">
        <v>1603</v>
      </c>
      <c r="N193" s="38" t="s">
        <v>1604</v>
      </c>
      <c r="O193" s="38" t="s">
        <v>159</v>
      </c>
      <c r="P193" s="38"/>
      <c r="Q193" s="38"/>
      <c r="R193" s="38"/>
      <c r="S193" s="41"/>
      <c r="T193" s="41"/>
      <c r="U193" s="42">
        <v>0.0</v>
      </c>
      <c r="V193" s="38" t="s">
        <v>175</v>
      </c>
      <c r="W193" s="38" t="s">
        <v>177</v>
      </c>
      <c r="X193" s="43"/>
    </row>
    <row r="194" ht="48.0" customHeight="1">
      <c r="A194" s="36">
        <v>193.0</v>
      </c>
      <c r="B194" s="38" t="s">
        <v>1605</v>
      </c>
      <c r="C194" s="38" t="s">
        <v>129</v>
      </c>
      <c r="D194" s="38" t="s">
        <v>252</v>
      </c>
      <c r="E194" s="38" t="s">
        <v>1606</v>
      </c>
      <c r="F194" s="38" t="s">
        <v>1607</v>
      </c>
      <c r="G194" s="38" t="s">
        <v>1608</v>
      </c>
      <c r="H194" s="38" t="s">
        <v>1609</v>
      </c>
      <c r="I194" s="38" t="s">
        <v>626</v>
      </c>
      <c r="J194" s="38" t="s">
        <v>232</v>
      </c>
      <c r="K194" s="38" t="s">
        <v>627</v>
      </c>
      <c r="L194" s="38" t="s">
        <v>1610</v>
      </c>
      <c r="M194" s="38" t="s">
        <v>1611</v>
      </c>
      <c r="N194" s="38" t="s">
        <v>1612</v>
      </c>
      <c r="O194" s="38" t="s">
        <v>159</v>
      </c>
      <c r="P194" s="38"/>
      <c r="Q194" s="38"/>
      <c r="R194" s="38"/>
      <c r="S194" s="41"/>
      <c r="T194" s="41"/>
      <c r="U194" s="42">
        <v>0.0</v>
      </c>
      <c r="V194" s="38" t="s">
        <v>175</v>
      </c>
      <c r="W194" s="38" t="s">
        <v>177</v>
      </c>
      <c r="X194" s="43"/>
    </row>
    <row r="195" ht="48.0" customHeight="1">
      <c r="A195" s="36">
        <v>194.0</v>
      </c>
      <c r="B195" s="38" t="s">
        <v>1613</v>
      </c>
      <c r="C195" s="38" t="s">
        <v>321</v>
      </c>
      <c r="D195" s="38" t="s">
        <v>252</v>
      </c>
      <c r="E195" s="38" t="s">
        <v>1614</v>
      </c>
      <c r="F195" s="38" t="s">
        <v>1615</v>
      </c>
      <c r="G195" s="38" t="s">
        <v>1616</v>
      </c>
      <c r="H195" s="38" t="s">
        <v>1617</v>
      </c>
      <c r="I195" s="38" t="s">
        <v>1618</v>
      </c>
      <c r="J195" s="38" t="s">
        <v>147</v>
      </c>
      <c r="K195" s="38" t="s">
        <v>627</v>
      </c>
      <c r="L195" s="38" t="s">
        <v>1619</v>
      </c>
      <c r="M195" s="38" t="s">
        <v>1620</v>
      </c>
      <c r="N195" s="38" t="s">
        <v>1621</v>
      </c>
      <c r="O195" s="38" t="s">
        <v>159</v>
      </c>
      <c r="P195" s="38"/>
      <c r="Q195" s="38"/>
      <c r="R195" s="38"/>
      <c r="S195" s="41"/>
      <c r="T195" s="41"/>
      <c r="U195" s="42">
        <v>0.0</v>
      </c>
      <c r="V195" s="38" t="s">
        <v>175</v>
      </c>
      <c r="W195" s="38" t="s">
        <v>177</v>
      </c>
      <c r="X195" s="43"/>
    </row>
    <row r="196" ht="48.0" customHeight="1">
      <c r="A196" s="36">
        <v>195.0</v>
      </c>
      <c r="B196" s="38" t="s">
        <v>1622</v>
      </c>
      <c r="C196" s="38" t="s">
        <v>321</v>
      </c>
      <c r="D196" s="38" t="s">
        <v>252</v>
      </c>
      <c r="E196" s="38" t="s">
        <v>1614</v>
      </c>
      <c r="F196" s="38" t="s">
        <v>1623</v>
      </c>
      <c r="G196" s="38" t="s">
        <v>1624</v>
      </c>
      <c r="H196" s="38" t="s">
        <v>1625</v>
      </c>
      <c r="I196" s="38" t="s">
        <v>1626</v>
      </c>
      <c r="J196" s="38" t="s">
        <v>193</v>
      </c>
      <c r="K196" s="38" t="s">
        <v>627</v>
      </c>
      <c r="L196" s="38" t="s">
        <v>1613</v>
      </c>
      <c r="M196" s="38" t="s">
        <v>1627</v>
      </c>
      <c r="N196" s="38" t="s">
        <v>1628</v>
      </c>
      <c r="O196" s="38" t="s">
        <v>159</v>
      </c>
      <c r="P196" s="38"/>
      <c r="Q196" s="38"/>
      <c r="R196" s="38"/>
      <c r="S196" s="41"/>
      <c r="T196" s="41"/>
      <c r="U196" s="42">
        <v>0.0</v>
      </c>
      <c r="V196" s="38" t="s">
        <v>175</v>
      </c>
      <c r="W196" s="38" t="s">
        <v>177</v>
      </c>
      <c r="X196" s="43"/>
    </row>
    <row r="197" ht="48.0" customHeight="1">
      <c r="A197" s="36">
        <v>196.0</v>
      </c>
      <c r="B197" s="38" t="s">
        <v>1629</v>
      </c>
      <c r="C197" s="38" t="s">
        <v>321</v>
      </c>
      <c r="D197" s="38" t="s">
        <v>252</v>
      </c>
      <c r="E197" s="38" t="s">
        <v>1614</v>
      </c>
      <c r="F197" s="38" t="s">
        <v>1630</v>
      </c>
      <c r="G197" s="38" t="s">
        <v>1631</v>
      </c>
      <c r="H197" s="38" t="s">
        <v>1625</v>
      </c>
      <c r="I197" s="38" t="s">
        <v>1632</v>
      </c>
      <c r="J197" s="38" t="s">
        <v>193</v>
      </c>
      <c r="K197" s="38" t="s">
        <v>627</v>
      </c>
      <c r="L197" s="38" t="s">
        <v>1613</v>
      </c>
      <c r="M197" s="38" t="s">
        <v>1633</v>
      </c>
      <c r="N197" s="38" t="s">
        <v>1628</v>
      </c>
      <c r="O197" s="38" t="s">
        <v>159</v>
      </c>
      <c r="P197" s="38"/>
      <c r="Q197" s="38"/>
      <c r="R197" s="38"/>
      <c r="S197" s="41"/>
      <c r="T197" s="41"/>
      <c r="U197" s="42">
        <v>0.0</v>
      </c>
      <c r="V197" s="38" t="s">
        <v>175</v>
      </c>
      <c r="W197" s="38" t="s">
        <v>177</v>
      </c>
      <c r="X197" s="43"/>
    </row>
    <row r="198" ht="48.0" customHeight="1">
      <c r="A198" s="36">
        <v>197.0</v>
      </c>
      <c r="B198" s="38" t="s">
        <v>1634</v>
      </c>
      <c r="C198" s="38" t="s">
        <v>321</v>
      </c>
      <c r="D198" s="38" t="s">
        <v>252</v>
      </c>
      <c r="E198" s="38" t="s">
        <v>837</v>
      </c>
      <c r="F198" s="38" t="s">
        <v>1635</v>
      </c>
      <c r="G198" s="38" t="s">
        <v>1636</v>
      </c>
      <c r="H198" s="38" t="s">
        <v>1637</v>
      </c>
      <c r="I198" s="38" t="s">
        <v>626</v>
      </c>
      <c r="J198" s="38" t="s">
        <v>147</v>
      </c>
      <c r="K198" s="38" t="s">
        <v>627</v>
      </c>
      <c r="L198" s="38" t="s">
        <v>1638</v>
      </c>
      <c r="M198" s="38" t="s">
        <v>1639</v>
      </c>
      <c r="N198" s="38" t="s">
        <v>1640</v>
      </c>
      <c r="O198" s="38" t="s">
        <v>159</v>
      </c>
      <c r="P198" s="38"/>
      <c r="Q198" s="38"/>
      <c r="R198" s="38"/>
      <c r="S198" s="41"/>
      <c r="T198" s="41"/>
      <c r="U198" s="42">
        <v>0.0</v>
      </c>
      <c r="V198" s="38" t="s">
        <v>175</v>
      </c>
      <c r="W198" s="38" t="s">
        <v>177</v>
      </c>
      <c r="X198" s="43"/>
    </row>
    <row r="199" ht="48.0" customHeight="1">
      <c r="A199" s="36">
        <v>198.0</v>
      </c>
      <c r="B199" s="38" t="s">
        <v>1641</v>
      </c>
      <c r="C199" s="38" t="s">
        <v>321</v>
      </c>
      <c r="D199" s="38" t="s">
        <v>255</v>
      </c>
      <c r="E199" s="38" t="s">
        <v>1642</v>
      </c>
      <c r="F199" s="38" t="s">
        <v>1643</v>
      </c>
      <c r="G199" s="38" t="s">
        <v>1644</v>
      </c>
      <c r="H199" s="38" t="s">
        <v>1645</v>
      </c>
      <c r="I199" s="38" t="s">
        <v>327</v>
      </c>
      <c r="J199" s="38" t="s">
        <v>147</v>
      </c>
      <c r="K199" s="38" t="s">
        <v>1646</v>
      </c>
      <c r="L199" s="38" t="s">
        <v>561</v>
      </c>
      <c r="M199" s="38" t="s">
        <v>1647</v>
      </c>
      <c r="N199" s="38" t="s">
        <v>1648</v>
      </c>
      <c r="O199" s="38" t="s">
        <v>159</v>
      </c>
      <c r="P199" s="38"/>
      <c r="Q199" s="38"/>
      <c r="R199" s="38"/>
      <c r="S199" s="41"/>
      <c r="T199" s="41"/>
      <c r="U199" s="42">
        <v>0.0</v>
      </c>
      <c r="V199" s="38" t="s">
        <v>175</v>
      </c>
      <c r="W199" s="38" t="s">
        <v>177</v>
      </c>
      <c r="X199" s="43"/>
    </row>
    <row r="200" ht="48.0" customHeight="1">
      <c r="A200" s="36">
        <v>199.0</v>
      </c>
      <c r="B200" s="38" t="s">
        <v>1649</v>
      </c>
      <c r="C200" s="38" t="s">
        <v>321</v>
      </c>
      <c r="D200" s="38" t="s">
        <v>255</v>
      </c>
      <c r="E200" s="38" t="s">
        <v>1642</v>
      </c>
      <c r="F200" s="38" t="s">
        <v>1650</v>
      </c>
      <c r="G200" s="38" t="s">
        <v>1651</v>
      </c>
      <c r="H200" s="38" t="s">
        <v>1652</v>
      </c>
      <c r="I200" s="38" t="s">
        <v>1653</v>
      </c>
      <c r="J200" s="38" t="s">
        <v>147</v>
      </c>
      <c r="K200" s="38" t="s">
        <v>1646</v>
      </c>
      <c r="L200" s="38" t="s">
        <v>62</v>
      </c>
      <c r="M200" s="38" t="s">
        <v>1654</v>
      </c>
      <c r="N200" s="38" t="s">
        <v>1655</v>
      </c>
      <c r="O200" s="38" t="s">
        <v>159</v>
      </c>
      <c r="P200" s="38"/>
      <c r="Q200" s="38"/>
      <c r="R200" s="38"/>
      <c r="S200" s="41"/>
      <c r="T200" s="41"/>
      <c r="U200" s="42">
        <v>0.0</v>
      </c>
      <c r="V200" s="38" t="s">
        <v>175</v>
      </c>
      <c r="W200" s="38" t="s">
        <v>177</v>
      </c>
      <c r="X200" s="43"/>
    </row>
    <row r="201" ht="48.0" customHeight="1">
      <c r="A201" s="36">
        <v>200.0</v>
      </c>
      <c r="B201" s="38" t="s">
        <v>1656</v>
      </c>
      <c r="C201" s="38" t="s">
        <v>321</v>
      </c>
      <c r="D201" s="38" t="s">
        <v>255</v>
      </c>
      <c r="E201" s="38" t="s">
        <v>1657</v>
      </c>
      <c r="F201" s="38" t="s">
        <v>1658</v>
      </c>
      <c r="G201" s="38" t="s">
        <v>1659</v>
      </c>
      <c r="H201" s="38" t="s">
        <v>1660</v>
      </c>
      <c r="I201" s="38" t="s">
        <v>1283</v>
      </c>
      <c r="J201" s="38" t="s">
        <v>193</v>
      </c>
      <c r="K201" s="38" t="s">
        <v>1646</v>
      </c>
      <c r="L201" s="38" t="s">
        <v>656</v>
      </c>
      <c r="M201" s="38" t="s">
        <v>1661</v>
      </c>
      <c r="N201" s="38" t="s">
        <v>1662</v>
      </c>
      <c r="O201" s="38" t="s">
        <v>159</v>
      </c>
      <c r="P201" s="38"/>
      <c r="Q201" s="38"/>
      <c r="R201" s="38"/>
      <c r="S201" s="41"/>
      <c r="T201" s="41"/>
      <c r="U201" s="42">
        <v>0.0</v>
      </c>
      <c r="V201" s="38" t="s">
        <v>175</v>
      </c>
      <c r="W201" s="38" t="s">
        <v>177</v>
      </c>
      <c r="X201" s="43"/>
    </row>
    <row r="202" ht="48.0" customHeight="1">
      <c r="A202" s="36">
        <v>201.0</v>
      </c>
      <c r="B202" s="38" t="s">
        <v>1663</v>
      </c>
      <c r="C202" s="38" t="s">
        <v>321</v>
      </c>
      <c r="D202" s="38" t="s">
        <v>255</v>
      </c>
      <c r="E202" s="38" t="s">
        <v>1657</v>
      </c>
      <c r="F202" s="38" t="s">
        <v>1664</v>
      </c>
      <c r="G202" s="38" t="s">
        <v>1665</v>
      </c>
      <c r="H202" s="38" t="s">
        <v>1666</v>
      </c>
      <c r="I202" s="38" t="s">
        <v>145</v>
      </c>
      <c r="J202" s="38" t="s">
        <v>193</v>
      </c>
      <c r="K202" s="38" t="s">
        <v>1646</v>
      </c>
      <c r="L202" s="38" t="s">
        <v>593</v>
      </c>
      <c r="M202" s="38" t="s">
        <v>1667</v>
      </c>
      <c r="N202" s="38" t="s">
        <v>1668</v>
      </c>
      <c r="O202" s="38" t="s">
        <v>159</v>
      </c>
      <c r="P202" s="38"/>
      <c r="Q202" s="38"/>
      <c r="R202" s="38"/>
      <c r="S202" s="41"/>
      <c r="T202" s="41"/>
      <c r="U202" s="42">
        <v>0.0</v>
      </c>
      <c r="V202" s="38" t="s">
        <v>175</v>
      </c>
      <c r="W202" s="38" t="s">
        <v>177</v>
      </c>
      <c r="X202" s="43"/>
    </row>
    <row r="203" ht="48.0" customHeight="1">
      <c r="A203" s="36">
        <v>202.0</v>
      </c>
      <c r="B203" s="38" t="s">
        <v>1669</v>
      </c>
      <c r="C203" s="38" t="s">
        <v>321</v>
      </c>
      <c r="D203" s="38" t="s">
        <v>255</v>
      </c>
      <c r="E203" s="38" t="s">
        <v>1670</v>
      </c>
      <c r="F203" s="38" t="s">
        <v>1671</v>
      </c>
      <c r="G203" s="38" t="s">
        <v>1672</v>
      </c>
      <c r="H203" s="38" t="s">
        <v>1673</v>
      </c>
      <c r="I203" s="38" t="s">
        <v>389</v>
      </c>
      <c r="J203" s="38" t="s">
        <v>147</v>
      </c>
      <c r="K203" s="38" t="s">
        <v>452</v>
      </c>
      <c r="L203" s="38" t="s">
        <v>389</v>
      </c>
      <c r="M203" s="38" t="s">
        <v>1674</v>
      </c>
      <c r="N203" s="38" t="s">
        <v>1675</v>
      </c>
      <c r="O203" s="38" t="s">
        <v>159</v>
      </c>
      <c r="P203" s="38"/>
      <c r="Q203" s="38"/>
      <c r="R203" s="38"/>
      <c r="S203" s="41"/>
      <c r="T203" s="41"/>
      <c r="U203" s="42">
        <v>0.0</v>
      </c>
      <c r="V203" s="38" t="s">
        <v>175</v>
      </c>
      <c r="W203" s="38" t="s">
        <v>177</v>
      </c>
      <c r="X203" s="43"/>
    </row>
    <row r="204" ht="48.0" customHeight="1">
      <c r="A204" s="36">
        <v>203.0</v>
      </c>
      <c r="B204" s="38" t="s">
        <v>1676</v>
      </c>
      <c r="C204" s="38" t="s">
        <v>321</v>
      </c>
      <c r="D204" s="38" t="s">
        <v>255</v>
      </c>
      <c r="E204" s="38" t="s">
        <v>1670</v>
      </c>
      <c r="F204" s="38" t="s">
        <v>1677</v>
      </c>
      <c r="G204" s="38" t="s">
        <v>1678</v>
      </c>
      <c r="H204" s="38" t="s">
        <v>1673</v>
      </c>
      <c r="I204" s="38" t="s">
        <v>389</v>
      </c>
      <c r="J204" s="38" t="s">
        <v>147</v>
      </c>
      <c r="K204" s="38" t="s">
        <v>452</v>
      </c>
      <c r="L204" s="38" t="s">
        <v>593</v>
      </c>
      <c r="M204" s="38" t="s">
        <v>1679</v>
      </c>
      <c r="N204" s="38" t="s">
        <v>1680</v>
      </c>
      <c r="O204" s="38" t="s">
        <v>159</v>
      </c>
      <c r="P204" s="38"/>
      <c r="Q204" s="38"/>
      <c r="R204" s="38"/>
      <c r="S204" s="41"/>
      <c r="T204" s="41"/>
      <c r="U204" s="42">
        <v>0.0</v>
      </c>
      <c r="V204" s="38" t="s">
        <v>175</v>
      </c>
      <c r="W204" s="38" t="s">
        <v>177</v>
      </c>
      <c r="X204" s="43"/>
    </row>
    <row r="205" ht="48.0" customHeight="1">
      <c r="A205" s="36">
        <v>204.0</v>
      </c>
      <c r="B205" s="38" t="s">
        <v>1681</v>
      </c>
      <c r="C205" s="38" t="s">
        <v>321</v>
      </c>
      <c r="D205" s="38" t="s">
        <v>255</v>
      </c>
      <c r="E205" s="38" t="s">
        <v>1670</v>
      </c>
      <c r="F205" s="38" t="s">
        <v>1682</v>
      </c>
      <c r="G205" s="38" t="s">
        <v>1683</v>
      </c>
      <c r="H205" s="38" t="s">
        <v>1684</v>
      </c>
      <c r="I205" s="38" t="s">
        <v>389</v>
      </c>
      <c r="J205" s="38" t="s">
        <v>147</v>
      </c>
      <c r="K205" s="38" t="s">
        <v>452</v>
      </c>
      <c r="L205" s="38" t="s">
        <v>1685</v>
      </c>
      <c r="M205" s="38" t="s">
        <v>1686</v>
      </c>
      <c r="N205" s="38" t="s">
        <v>1687</v>
      </c>
      <c r="O205" s="38" t="s">
        <v>159</v>
      </c>
      <c r="P205" s="38"/>
      <c r="Q205" s="38"/>
      <c r="R205" s="38"/>
      <c r="S205" s="41"/>
      <c r="T205" s="41"/>
      <c r="U205" s="42">
        <v>0.0</v>
      </c>
      <c r="V205" s="38" t="s">
        <v>175</v>
      </c>
      <c r="W205" s="38" t="s">
        <v>177</v>
      </c>
      <c r="X205" s="43"/>
    </row>
    <row r="206" ht="48.0" customHeight="1">
      <c r="A206" s="36">
        <v>205.0</v>
      </c>
      <c r="B206" s="38" t="s">
        <v>1688</v>
      </c>
      <c r="C206" s="38" t="s">
        <v>321</v>
      </c>
      <c r="D206" s="38" t="s">
        <v>255</v>
      </c>
      <c r="E206" s="38" t="s">
        <v>1689</v>
      </c>
      <c r="F206" s="38" t="s">
        <v>1690</v>
      </c>
      <c r="G206" s="38" t="s">
        <v>1691</v>
      </c>
      <c r="H206" s="38" t="s">
        <v>1673</v>
      </c>
      <c r="I206" s="38" t="s">
        <v>389</v>
      </c>
      <c r="J206" s="38" t="s">
        <v>193</v>
      </c>
      <c r="K206" s="38" t="s">
        <v>452</v>
      </c>
      <c r="L206" s="38" t="s">
        <v>389</v>
      </c>
      <c r="M206" s="38" t="s">
        <v>1692</v>
      </c>
      <c r="N206" s="38" t="s">
        <v>1693</v>
      </c>
      <c r="O206" s="38" t="s">
        <v>159</v>
      </c>
      <c r="P206" s="38"/>
      <c r="Q206" s="38"/>
      <c r="R206" s="38"/>
      <c r="S206" s="41"/>
      <c r="T206" s="41"/>
      <c r="U206" s="42">
        <v>0.0</v>
      </c>
      <c r="V206" s="38" t="s">
        <v>175</v>
      </c>
      <c r="W206" s="38" t="s">
        <v>177</v>
      </c>
      <c r="X206" s="43"/>
    </row>
    <row r="207" ht="48.0" customHeight="1">
      <c r="A207" s="36">
        <v>206.0</v>
      </c>
      <c r="B207" s="38" t="s">
        <v>1694</v>
      </c>
      <c r="C207" s="38" t="s">
        <v>321</v>
      </c>
      <c r="D207" s="38" t="s">
        <v>255</v>
      </c>
      <c r="E207" s="38" t="s">
        <v>1695</v>
      </c>
      <c r="F207" s="38" t="s">
        <v>1696</v>
      </c>
      <c r="G207" s="38" t="s">
        <v>1697</v>
      </c>
      <c r="H207" s="38" t="s">
        <v>1698</v>
      </c>
      <c r="I207" s="38" t="s">
        <v>248</v>
      </c>
      <c r="J207" s="38" t="s">
        <v>193</v>
      </c>
      <c r="K207" s="38" t="s">
        <v>1646</v>
      </c>
      <c r="L207" s="38" t="s">
        <v>1699</v>
      </c>
      <c r="M207" s="38" t="s">
        <v>1700</v>
      </c>
      <c r="N207" s="38" t="s">
        <v>1701</v>
      </c>
      <c r="O207" s="38" t="s">
        <v>159</v>
      </c>
      <c r="P207" s="38"/>
      <c r="Q207" s="38"/>
      <c r="R207" s="38"/>
      <c r="S207" s="41"/>
      <c r="T207" s="41"/>
      <c r="U207" s="42">
        <v>0.0</v>
      </c>
      <c r="V207" s="38" t="s">
        <v>175</v>
      </c>
      <c r="W207" s="38" t="s">
        <v>177</v>
      </c>
      <c r="X207" s="43"/>
    </row>
    <row r="208" ht="48.0" customHeight="1">
      <c r="A208" s="36">
        <v>207.0</v>
      </c>
      <c r="B208" s="38" t="s">
        <v>1702</v>
      </c>
      <c r="C208" s="38" t="s">
        <v>321</v>
      </c>
      <c r="D208" s="38" t="s">
        <v>255</v>
      </c>
      <c r="E208" s="38" t="s">
        <v>1695</v>
      </c>
      <c r="F208" s="38" t="s">
        <v>1703</v>
      </c>
      <c r="G208" s="38" t="s">
        <v>1704</v>
      </c>
      <c r="H208" s="38" t="s">
        <v>1705</v>
      </c>
      <c r="I208" s="38" t="s">
        <v>145</v>
      </c>
      <c r="J208" s="38" t="s">
        <v>193</v>
      </c>
      <c r="K208" s="38" t="s">
        <v>1646</v>
      </c>
      <c r="L208" s="38" t="s">
        <v>656</v>
      </c>
      <c r="M208" s="38" t="s">
        <v>1706</v>
      </c>
      <c r="N208" s="38" t="s">
        <v>1707</v>
      </c>
      <c r="O208" s="38" t="s">
        <v>159</v>
      </c>
      <c r="P208" s="38"/>
      <c r="Q208" s="38"/>
      <c r="R208" s="38"/>
      <c r="S208" s="41"/>
      <c r="T208" s="41"/>
      <c r="U208" s="42">
        <v>0.0</v>
      </c>
      <c r="V208" s="38" t="s">
        <v>175</v>
      </c>
      <c r="W208" s="38" t="s">
        <v>177</v>
      </c>
      <c r="X208" s="43"/>
    </row>
    <row r="209" ht="48.0" customHeight="1">
      <c r="A209" s="36">
        <v>208.0</v>
      </c>
      <c r="B209" s="38" t="s">
        <v>1708</v>
      </c>
      <c r="C209" s="38" t="s">
        <v>321</v>
      </c>
      <c r="D209" s="38" t="s">
        <v>255</v>
      </c>
      <c r="E209" s="38" t="s">
        <v>829</v>
      </c>
      <c r="F209" s="38" t="s">
        <v>1709</v>
      </c>
      <c r="G209" s="38" t="s">
        <v>1710</v>
      </c>
      <c r="H209" s="38" t="s">
        <v>1711</v>
      </c>
      <c r="I209" s="38" t="s">
        <v>824</v>
      </c>
      <c r="J209" s="38" t="s">
        <v>193</v>
      </c>
      <c r="K209" s="38" t="s">
        <v>452</v>
      </c>
      <c r="L209" s="38" t="s">
        <v>1712</v>
      </c>
      <c r="M209" s="38" t="s">
        <v>1713</v>
      </c>
      <c r="N209" s="38" t="s">
        <v>1714</v>
      </c>
      <c r="O209" s="38" t="s">
        <v>159</v>
      </c>
      <c r="P209" s="38"/>
      <c r="Q209" s="38"/>
      <c r="R209" s="38"/>
      <c r="S209" s="41"/>
      <c r="T209" s="41"/>
      <c r="U209" s="42">
        <v>0.0</v>
      </c>
      <c r="V209" s="38" t="s">
        <v>175</v>
      </c>
      <c r="W209" s="38" t="s">
        <v>177</v>
      </c>
      <c r="X209" s="43"/>
    </row>
    <row r="210" ht="48.0" customHeight="1">
      <c r="A210" s="36">
        <v>209.0</v>
      </c>
      <c r="B210" s="38" t="s">
        <v>1715</v>
      </c>
      <c r="C210" s="38" t="s">
        <v>321</v>
      </c>
      <c r="D210" s="38" t="s">
        <v>255</v>
      </c>
      <c r="E210" s="38" t="s">
        <v>829</v>
      </c>
      <c r="F210" s="38" t="s">
        <v>1716</v>
      </c>
      <c r="G210" s="38" t="s">
        <v>1717</v>
      </c>
      <c r="H210" s="38" t="s">
        <v>1617</v>
      </c>
      <c r="I210" s="38" t="s">
        <v>1138</v>
      </c>
      <c r="J210" s="38" t="s">
        <v>232</v>
      </c>
      <c r="K210" s="38" t="s">
        <v>1718</v>
      </c>
      <c r="L210" s="38" t="s">
        <v>1708</v>
      </c>
      <c r="M210" s="38" t="s">
        <v>1719</v>
      </c>
      <c r="N210" s="38" t="s">
        <v>1720</v>
      </c>
      <c r="O210" s="38" t="s">
        <v>159</v>
      </c>
      <c r="P210" s="38"/>
      <c r="Q210" s="38"/>
      <c r="R210" s="38"/>
      <c r="S210" s="41"/>
      <c r="T210" s="41"/>
      <c r="U210" s="42">
        <v>0.0</v>
      </c>
      <c r="V210" s="38" t="s">
        <v>175</v>
      </c>
      <c r="W210" s="38" t="s">
        <v>177</v>
      </c>
      <c r="X210" s="43"/>
    </row>
    <row r="211" ht="48.0" customHeight="1">
      <c r="A211" s="36">
        <v>210.0</v>
      </c>
      <c r="B211" s="38" t="s">
        <v>1721</v>
      </c>
      <c r="C211" s="38" t="s">
        <v>321</v>
      </c>
      <c r="D211" s="38" t="s">
        <v>258</v>
      </c>
      <c r="E211" s="38" t="s">
        <v>142</v>
      </c>
      <c r="F211" s="38" t="s">
        <v>1722</v>
      </c>
      <c r="G211" s="38" t="s">
        <v>1723</v>
      </c>
      <c r="H211" s="38" t="s">
        <v>1724</v>
      </c>
      <c r="I211" s="38" t="s">
        <v>824</v>
      </c>
      <c r="J211" s="38" t="s">
        <v>147</v>
      </c>
      <c r="K211" s="38" t="s">
        <v>1725</v>
      </c>
      <c r="L211" s="38" t="s">
        <v>1726</v>
      </c>
      <c r="M211" s="38" t="s">
        <v>1727</v>
      </c>
      <c r="N211" s="38" t="s">
        <v>1728</v>
      </c>
      <c r="O211" s="38" t="s">
        <v>159</v>
      </c>
      <c r="P211" s="38"/>
      <c r="Q211" s="38"/>
      <c r="R211" s="38"/>
      <c r="S211" s="41"/>
      <c r="T211" s="41"/>
      <c r="U211" s="42">
        <v>0.0</v>
      </c>
      <c r="V211" s="38" t="s">
        <v>175</v>
      </c>
      <c r="W211" s="38" t="s">
        <v>177</v>
      </c>
      <c r="X211" s="43"/>
    </row>
    <row r="212" ht="48.0" customHeight="1">
      <c r="A212" s="36">
        <v>211.0</v>
      </c>
      <c r="B212" s="38" t="s">
        <v>1729</v>
      </c>
      <c r="C212" s="38" t="s">
        <v>321</v>
      </c>
      <c r="D212" s="38" t="s">
        <v>258</v>
      </c>
      <c r="E212" s="38" t="s">
        <v>1730</v>
      </c>
      <c r="F212" s="38" t="s">
        <v>1731</v>
      </c>
      <c r="G212" s="38" t="s">
        <v>1732</v>
      </c>
      <c r="H212" s="38" t="s">
        <v>1733</v>
      </c>
      <c r="I212" s="38" t="s">
        <v>824</v>
      </c>
      <c r="J212" s="38" t="s">
        <v>193</v>
      </c>
      <c r="K212" s="38" t="s">
        <v>1646</v>
      </c>
      <c r="L212" s="38" t="s">
        <v>1734</v>
      </c>
      <c r="M212" s="38" t="s">
        <v>1735</v>
      </c>
      <c r="N212" s="38" t="s">
        <v>1736</v>
      </c>
      <c r="O212" s="38" t="s">
        <v>159</v>
      </c>
      <c r="P212" s="38"/>
      <c r="Q212" s="38"/>
      <c r="R212" s="38"/>
      <c r="S212" s="41"/>
      <c r="T212" s="41"/>
      <c r="U212" s="42">
        <v>0.0</v>
      </c>
      <c r="V212" s="38" t="s">
        <v>175</v>
      </c>
      <c r="W212" s="38" t="s">
        <v>177</v>
      </c>
      <c r="X212" s="43"/>
    </row>
    <row r="213" ht="48.0" customHeight="1">
      <c r="A213" s="36">
        <v>212.0</v>
      </c>
      <c r="B213" s="38" t="s">
        <v>1737</v>
      </c>
      <c r="C213" s="38" t="s">
        <v>321</v>
      </c>
      <c r="D213" s="38" t="s">
        <v>258</v>
      </c>
      <c r="E213" s="38" t="s">
        <v>389</v>
      </c>
      <c r="F213" s="38" t="s">
        <v>1738</v>
      </c>
      <c r="G213" s="38" t="s">
        <v>1739</v>
      </c>
      <c r="H213" s="38" t="s">
        <v>1740</v>
      </c>
      <c r="I213" s="38" t="s">
        <v>824</v>
      </c>
      <c r="J213" s="38" t="s">
        <v>147</v>
      </c>
      <c r="K213" s="38" t="s">
        <v>1741</v>
      </c>
      <c r="L213" s="38" t="s">
        <v>1742</v>
      </c>
      <c r="M213" s="38" t="s">
        <v>1743</v>
      </c>
      <c r="N213" s="38" t="s">
        <v>1744</v>
      </c>
      <c r="O213" s="38" t="s">
        <v>159</v>
      </c>
      <c r="P213" s="38"/>
      <c r="Q213" s="38"/>
      <c r="R213" s="38"/>
      <c r="S213" s="41"/>
      <c r="T213" s="41"/>
      <c r="U213" s="42">
        <v>0.0</v>
      </c>
      <c r="V213" s="38" t="s">
        <v>175</v>
      </c>
      <c r="W213" s="38" t="s">
        <v>177</v>
      </c>
      <c r="X213" s="43"/>
    </row>
    <row r="214" ht="48.0" customHeight="1">
      <c r="A214" s="36">
        <v>213.0</v>
      </c>
      <c r="B214" s="38" t="s">
        <v>1745</v>
      </c>
      <c r="C214" s="38" t="s">
        <v>321</v>
      </c>
      <c r="D214" s="38" t="s">
        <v>258</v>
      </c>
      <c r="E214" s="38" t="s">
        <v>1746</v>
      </c>
      <c r="F214" s="38" t="s">
        <v>1747</v>
      </c>
      <c r="G214" s="38" t="s">
        <v>1748</v>
      </c>
      <c r="H214" s="38" t="s">
        <v>1749</v>
      </c>
      <c r="I214" s="38" t="s">
        <v>824</v>
      </c>
      <c r="J214" s="38" t="s">
        <v>147</v>
      </c>
      <c r="K214" s="38" t="s">
        <v>1750</v>
      </c>
      <c r="L214" s="38" t="s">
        <v>149</v>
      </c>
      <c r="M214" s="38" t="s">
        <v>1751</v>
      </c>
      <c r="N214" s="38" t="s">
        <v>1752</v>
      </c>
      <c r="O214" s="38" t="s">
        <v>159</v>
      </c>
      <c r="P214" s="38"/>
      <c r="Q214" s="38"/>
      <c r="R214" s="38"/>
      <c r="S214" s="41"/>
      <c r="T214" s="41"/>
      <c r="U214" s="42">
        <v>0.0</v>
      </c>
      <c r="V214" s="38" t="s">
        <v>175</v>
      </c>
      <c r="W214" s="38" t="s">
        <v>177</v>
      </c>
      <c r="X214" s="43"/>
    </row>
    <row r="215" ht="48.0" customHeight="1">
      <c r="A215" s="36">
        <v>214.0</v>
      </c>
      <c r="B215" s="38" t="s">
        <v>1753</v>
      </c>
      <c r="C215" s="38" t="s">
        <v>321</v>
      </c>
      <c r="D215" s="38" t="s">
        <v>258</v>
      </c>
      <c r="E215" s="38" t="s">
        <v>1746</v>
      </c>
      <c r="F215" s="38" t="s">
        <v>1754</v>
      </c>
      <c r="G215" s="38" t="s">
        <v>1755</v>
      </c>
      <c r="H215" s="38" t="s">
        <v>1756</v>
      </c>
      <c r="I215" s="38" t="s">
        <v>824</v>
      </c>
      <c r="J215" s="38" t="s">
        <v>147</v>
      </c>
      <c r="K215" s="38" t="s">
        <v>1757</v>
      </c>
      <c r="L215" s="38" t="s">
        <v>1745</v>
      </c>
      <c r="M215" s="38" t="s">
        <v>1758</v>
      </c>
      <c r="N215" s="38" t="s">
        <v>1759</v>
      </c>
      <c r="O215" s="38" t="s">
        <v>159</v>
      </c>
      <c r="P215" s="38"/>
      <c r="Q215" s="38"/>
      <c r="R215" s="38"/>
      <c r="S215" s="41"/>
      <c r="T215" s="41"/>
      <c r="U215" s="42">
        <v>0.0</v>
      </c>
      <c r="V215" s="38" t="s">
        <v>175</v>
      </c>
      <c r="W215" s="38" t="s">
        <v>177</v>
      </c>
      <c r="X215" s="43"/>
    </row>
    <row r="216" ht="48.0" customHeight="1">
      <c r="A216" s="36">
        <v>215.0</v>
      </c>
      <c r="B216" s="38" t="s">
        <v>1760</v>
      </c>
      <c r="C216" s="38" t="s">
        <v>321</v>
      </c>
      <c r="D216" s="38" t="s">
        <v>258</v>
      </c>
      <c r="E216" s="38" t="s">
        <v>107</v>
      </c>
      <c r="F216" s="38" t="s">
        <v>1761</v>
      </c>
      <c r="G216" s="38" t="s">
        <v>1762</v>
      </c>
      <c r="H216" s="38" t="s">
        <v>1763</v>
      </c>
      <c r="I216" s="38" t="s">
        <v>1764</v>
      </c>
      <c r="J216" s="38" t="s">
        <v>147</v>
      </c>
      <c r="K216" s="38" t="s">
        <v>1765</v>
      </c>
      <c r="L216" s="38" t="s">
        <v>1766</v>
      </c>
      <c r="M216" s="38" t="s">
        <v>1767</v>
      </c>
      <c r="N216" s="38" t="s">
        <v>1768</v>
      </c>
      <c r="O216" s="38" t="s">
        <v>159</v>
      </c>
      <c r="P216" s="38"/>
      <c r="Q216" s="38"/>
      <c r="R216" s="38"/>
      <c r="S216" s="41"/>
      <c r="T216" s="41"/>
      <c r="U216" s="42">
        <v>0.0</v>
      </c>
      <c r="V216" s="38" t="s">
        <v>175</v>
      </c>
      <c r="W216" s="38" t="s">
        <v>177</v>
      </c>
      <c r="X216" s="43"/>
    </row>
    <row r="217" ht="48.0" customHeight="1">
      <c r="A217" s="36">
        <v>216.0</v>
      </c>
      <c r="B217" s="38" t="s">
        <v>1769</v>
      </c>
      <c r="C217" s="38" t="s">
        <v>321</v>
      </c>
      <c r="D217" s="38" t="s">
        <v>258</v>
      </c>
      <c r="E217" s="38" t="s">
        <v>107</v>
      </c>
      <c r="F217" s="38" t="s">
        <v>1770</v>
      </c>
      <c r="G217" s="38" t="s">
        <v>1771</v>
      </c>
      <c r="H217" s="38" t="s">
        <v>1772</v>
      </c>
      <c r="I217" s="38" t="s">
        <v>145</v>
      </c>
      <c r="J217" s="38" t="s">
        <v>147</v>
      </c>
      <c r="K217" s="38" t="s">
        <v>1773</v>
      </c>
      <c r="L217" s="38" t="s">
        <v>1760</v>
      </c>
      <c r="M217" s="38" t="s">
        <v>1774</v>
      </c>
      <c r="N217" s="38" t="s">
        <v>1775</v>
      </c>
      <c r="O217" s="38" t="s">
        <v>159</v>
      </c>
      <c r="P217" s="38"/>
      <c r="Q217" s="38"/>
      <c r="R217" s="38"/>
      <c r="S217" s="41"/>
      <c r="T217" s="41"/>
      <c r="U217" s="42">
        <v>0.0</v>
      </c>
      <c r="V217" s="38" t="s">
        <v>175</v>
      </c>
      <c r="W217" s="38" t="s">
        <v>177</v>
      </c>
      <c r="X217" s="43"/>
    </row>
    <row r="218" ht="48.0" customHeight="1">
      <c r="A218" s="36">
        <v>217.0</v>
      </c>
      <c r="B218" s="38" t="s">
        <v>1776</v>
      </c>
      <c r="C218" s="38" t="s">
        <v>321</v>
      </c>
      <c r="D218" s="38" t="s">
        <v>258</v>
      </c>
      <c r="E218" s="38" t="s">
        <v>1777</v>
      </c>
      <c r="F218" s="38" t="s">
        <v>1778</v>
      </c>
      <c r="G218" s="38" t="s">
        <v>1779</v>
      </c>
      <c r="H218" s="38" t="s">
        <v>1780</v>
      </c>
      <c r="I218" s="38" t="s">
        <v>824</v>
      </c>
      <c r="J218" s="38" t="s">
        <v>147</v>
      </c>
      <c r="K218" s="38" t="s">
        <v>1646</v>
      </c>
      <c r="L218" s="38" t="s">
        <v>159</v>
      </c>
      <c r="M218" s="38" t="s">
        <v>1781</v>
      </c>
      <c r="N218" s="38" t="s">
        <v>1782</v>
      </c>
      <c r="O218" s="38" t="s">
        <v>159</v>
      </c>
      <c r="P218" s="38"/>
      <c r="Q218" s="38"/>
      <c r="R218" s="38"/>
      <c r="S218" s="41"/>
      <c r="T218" s="41"/>
      <c r="U218" s="42">
        <v>0.0</v>
      </c>
      <c r="V218" s="38" t="s">
        <v>175</v>
      </c>
      <c r="W218" s="38" t="s">
        <v>177</v>
      </c>
      <c r="X218" s="43"/>
    </row>
    <row r="219" ht="48.0" customHeight="1">
      <c r="A219" s="36">
        <v>218.0</v>
      </c>
      <c r="B219" s="38" t="s">
        <v>1783</v>
      </c>
      <c r="C219" s="38" t="s">
        <v>321</v>
      </c>
      <c r="D219" s="38" t="s">
        <v>258</v>
      </c>
      <c r="E219" s="38" t="s">
        <v>1784</v>
      </c>
      <c r="F219" s="38" t="s">
        <v>1785</v>
      </c>
      <c r="G219" s="38" t="s">
        <v>1786</v>
      </c>
      <c r="H219" s="38" t="s">
        <v>1787</v>
      </c>
      <c r="I219" s="38" t="s">
        <v>1788</v>
      </c>
      <c r="J219" s="38" t="s">
        <v>193</v>
      </c>
      <c r="K219" s="38" t="s">
        <v>452</v>
      </c>
      <c r="L219" s="38" t="s">
        <v>1789</v>
      </c>
      <c r="M219" s="38" t="s">
        <v>1790</v>
      </c>
      <c r="N219" s="38" t="s">
        <v>1791</v>
      </c>
      <c r="O219" s="38" t="s">
        <v>159</v>
      </c>
      <c r="P219" s="38"/>
      <c r="Q219" s="38"/>
      <c r="R219" s="38"/>
      <c r="S219" s="41"/>
      <c r="T219" s="41"/>
      <c r="U219" s="42">
        <v>0.0</v>
      </c>
      <c r="V219" s="38" t="s">
        <v>175</v>
      </c>
      <c r="W219" s="38" t="s">
        <v>177</v>
      </c>
      <c r="X219" s="43"/>
    </row>
    <row r="220" ht="48.0" customHeight="1">
      <c r="A220" s="36">
        <v>219.0</v>
      </c>
      <c r="B220" s="38" t="s">
        <v>1792</v>
      </c>
      <c r="C220" s="38" t="s">
        <v>321</v>
      </c>
      <c r="D220" s="38" t="s">
        <v>258</v>
      </c>
      <c r="E220" s="38" t="s">
        <v>1793</v>
      </c>
      <c r="F220" s="38" t="s">
        <v>1794</v>
      </c>
      <c r="G220" s="38" t="s">
        <v>1795</v>
      </c>
      <c r="H220" s="38" t="s">
        <v>1796</v>
      </c>
      <c r="I220" s="38" t="s">
        <v>824</v>
      </c>
      <c r="J220" s="38" t="s">
        <v>232</v>
      </c>
      <c r="K220" s="38" t="s">
        <v>1797</v>
      </c>
      <c r="L220" s="38" t="s">
        <v>1769</v>
      </c>
      <c r="M220" s="38" t="s">
        <v>1798</v>
      </c>
      <c r="N220" s="38" t="s">
        <v>1799</v>
      </c>
      <c r="O220" s="38" t="s">
        <v>159</v>
      </c>
      <c r="P220" s="38"/>
      <c r="Q220" s="38"/>
      <c r="R220" s="38"/>
      <c r="S220" s="41"/>
      <c r="T220" s="41"/>
      <c r="U220" s="42">
        <v>0.0</v>
      </c>
      <c r="V220" s="38" t="s">
        <v>175</v>
      </c>
      <c r="W220" s="38" t="s">
        <v>177</v>
      </c>
      <c r="X220" s="43"/>
    </row>
    <row r="221" ht="48.0" customHeight="1">
      <c r="A221" s="36">
        <v>220.0</v>
      </c>
      <c r="B221" s="38" t="s">
        <v>1800</v>
      </c>
      <c r="C221" s="38" t="s">
        <v>321</v>
      </c>
      <c r="D221" s="38" t="s">
        <v>258</v>
      </c>
      <c r="E221" s="38" t="s">
        <v>1801</v>
      </c>
      <c r="F221" s="38" t="s">
        <v>1802</v>
      </c>
      <c r="G221" s="38" t="s">
        <v>1803</v>
      </c>
      <c r="H221" s="38" t="s">
        <v>1804</v>
      </c>
      <c r="I221" s="38" t="s">
        <v>824</v>
      </c>
      <c r="J221" s="38" t="s">
        <v>193</v>
      </c>
      <c r="K221" s="38" t="s">
        <v>452</v>
      </c>
      <c r="L221" s="38" t="s">
        <v>1783</v>
      </c>
      <c r="M221" s="38" t="s">
        <v>1805</v>
      </c>
      <c r="N221" s="38" t="s">
        <v>1806</v>
      </c>
      <c r="O221" s="38" t="s">
        <v>159</v>
      </c>
      <c r="P221" s="38"/>
      <c r="Q221" s="38"/>
      <c r="R221" s="38"/>
      <c r="S221" s="41"/>
      <c r="T221" s="41"/>
      <c r="U221" s="42">
        <v>0.0</v>
      </c>
      <c r="V221" s="38" t="s">
        <v>175</v>
      </c>
      <c r="W221" s="38" t="s">
        <v>177</v>
      </c>
      <c r="X221" s="43"/>
    </row>
    <row r="222" ht="48.0" customHeight="1">
      <c r="A222" s="50">
        <v>221.0</v>
      </c>
      <c r="B222" s="51" t="s">
        <v>1807</v>
      </c>
      <c r="C222" s="51" t="s">
        <v>321</v>
      </c>
      <c r="D222" s="51" t="s">
        <v>258</v>
      </c>
      <c r="E222" s="51" t="s">
        <v>435</v>
      </c>
      <c r="F222" s="51" t="s">
        <v>1808</v>
      </c>
      <c r="G222" s="51" t="s">
        <v>1809</v>
      </c>
      <c r="H222" s="51" t="s">
        <v>1810</v>
      </c>
      <c r="I222" s="51" t="s">
        <v>824</v>
      </c>
      <c r="J222" s="51" t="s">
        <v>193</v>
      </c>
      <c r="K222" s="51" t="s">
        <v>1646</v>
      </c>
      <c r="L222" s="51" t="s">
        <v>1721</v>
      </c>
      <c r="M222" s="51" t="s">
        <v>1811</v>
      </c>
      <c r="N222" s="51" t="s">
        <v>1812</v>
      </c>
      <c r="O222" s="51" t="s">
        <v>159</v>
      </c>
      <c r="P222" s="51"/>
      <c r="Q222" s="51"/>
      <c r="R222" s="51"/>
      <c r="S222" s="52"/>
      <c r="T222" s="52"/>
      <c r="U222" s="53">
        <v>0.0</v>
      </c>
      <c r="V222" s="51" t="s">
        <v>175</v>
      </c>
      <c r="W222" s="51" t="s">
        <v>177</v>
      </c>
      <c r="X222" s="54"/>
    </row>
    <row r="223" ht="15.75" customHeight="1">
      <c r="C223" s="49"/>
      <c r="I223" s="49"/>
      <c r="J223" s="49"/>
      <c r="O223" s="49"/>
      <c r="V223" s="49"/>
      <c r="W223" s="49"/>
    </row>
    <row r="224" ht="15.75" customHeight="1">
      <c r="C224" s="49"/>
      <c r="I224" s="49"/>
      <c r="J224" s="49"/>
      <c r="O224" s="49"/>
      <c r="V224" s="49"/>
      <c r="W224" s="49"/>
    </row>
    <row r="225" ht="15.75" customHeight="1">
      <c r="C225" s="49"/>
      <c r="I225" s="49"/>
      <c r="J225" s="49"/>
      <c r="O225" s="49"/>
      <c r="V225" s="49"/>
      <c r="W225" s="49"/>
    </row>
    <row r="226" ht="15.75" customHeight="1">
      <c r="C226" s="49"/>
      <c r="I226" s="49"/>
      <c r="J226" s="49"/>
      <c r="O226" s="49"/>
      <c r="V226" s="49"/>
      <c r="W226" s="49"/>
    </row>
    <row r="227" ht="15.75" customHeight="1">
      <c r="C227" s="49"/>
      <c r="I227" s="49"/>
      <c r="J227" s="49"/>
      <c r="O227" s="49"/>
      <c r="V227" s="49"/>
      <c r="W227" s="49"/>
    </row>
    <row r="228" ht="15.75" customHeight="1">
      <c r="C228" s="49"/>
      <c r="I228" s="49"/>
      <c r="J228" s="49"/>
      <c r="O228" s="49"/>
      <c r="V228" s="49"/>
      <c r="W228" s="49"/>
    </row>
    <row r="229" ht="15.75" customHeight="1">
      <c r="C229" s="49"/>
      <c r="I229" s="49"/>
      <c r="J229" s="49"/>
      <c r="O229" s="49"/>
      <c r="V229" s="49"/>
      <c r="W229" s="49"/>
    </row>
    <row r="230" ht="15.75" customHeight="1">
      <c r="C230" s="49"/>
      <c r="I230" s="49"/>
      <c r="J230" s="49"/>
      <c r="O230" s="49"/>
      <c r="V230" s="49"/>
      <c r="W230" s="49"/>
    </row>
    <row r="231" ht="15.75" customHeight="1">
      <c r="C231" s="49"/>
      <c r="I231" s="49"/>
      <c r="J231" s="49"/>
      <c r="O231" s="49"/>
      <c r="V231" s="49"/>
      <c r="W231" s="49"/>
    </row>
    <row r="232" ht="15.75" customHeight="1">
      <c r="C232" s="49"/>
      <c r="I232" s="49"/>
      <c r="J232" s="49"/>
      <c r="O232" s="49"/>
      <c r="V232" s="49"/>
      <c r="W232" s="49"/>
    </row>
    <row r="233" ht="15.75" customHeight="1">
      <c r="C233" s="49"/>
      <c r="I233" s="49"/>
      <c r="J233" s="49"/>
      <c r="O233" s="49"/>
      <c r="V233" s="49"/>
      <c r="W233" s="49"/>
    </row>
    <row r="234" ht="15.75" customHeight="1">
      <c r="C234" s="49"/>
      <c r="I234" s="49"/>
      <c r="J234" s="49"/>
      <c r="O234" s="49"/>
      <c r="V234" s="49"/>
      <c r="W234" s="49"/>
    </row>
    <row r="235" ht="15.75" customHeight="1">
      <c r="C235" s="49"/>
      <c r="I235" s="49"/>
      <c r="J235" s="49"/>
      <c r="O235" s="49"/>
      <c r="V235" s="49"/>
      <c r="W235" s="49"/>
    </row>
    <row r="236" ht="15.75" customHeight="1">
      <c r="C236" s="49"/>
      <c r="I236" s="49"/>
      <c r="J236" s="49"/>
      <c r="O236" s="49"/>
      <c r="V236" s="49"/>
      <c r="W236" s="49"/>
    </row>
    <row r="237" ht="15.75" customHeight="1">
      <c r="C237" s="49"/>
      <c r="I237" s="49"/>
      <c r="J237" s="49"/>
      <c r="O237" s="49"/>
      <c r="V237" s="49"/>
      <c r="W237" s="49"/>
    </row>
    <row r="238" ht="15.75" customHeight="1">
      <c r="C238" s="49"/>
      <c r="I238" s="49"/>
      <c r="J238" s="49"/>
      <c r="O238" s="49"/>
      <c r="V238" s="49"/>
      <c r="W238" s="49"/>
    </row>
    <row r="239" ht="15.75" customHeight="1">
      <c r="C239" s="49"/>
      <c r="I239" s="49"/>
      <c r="J239" s="49"/>
      <c r="O239" s="49"/>
      <c r="V239" s="49"/>
      <c r="W239" s="49"/>
    </row>
    <row r="240" ht="15.75" customHeight="1">
      <c r="C240" s="49"/>
      <c r="I240" s="49"/>
      <c r="J240" s="49"/>
      <c r="O240" s="49"/>
      <c r="V240" s="49"/>
      <c r="W240" s="49"/>
    </row>
    <row r="241" ht="15.75" customHeight="1">
      <c r="C241" s="49"/>
      <c r="I241" s="49"/>
      <c r="J241" s="49"/>
      <c r="O241" s="49"/>
      <c r="V241" s="49"/>
      <c r="W241" s="49"/>
    </row>
    <row r="242" ht="15.75" customHeight="1">
      <c r="C242" s="49"/>
      <c r="I242" s="49"/>
      <c r="J242" s="49"/>
      <c r="O242" s="49"/>
      <c r="V242" s="49"/>
      <c r="W242" s="49"/>
    </row>
    <row r="243" ht="15.75" customHeight="1">
      <c r="C243" s="49"/>
      <c r="I243" s="49"/>
      <c r="J243" s="49"/>
      <c r="O243" s="49"/>
      <c r="V243" s="49"/>
      <c r="W243" s="49"/>
    </row>
    <row r="244" ht="15.75" customHeight="1">
      <c r="C244" s="49"/>
      <c r="I244" s="49"/>
      <c r="J244" s="49"/>
      <c r="O244" s="49"/>
      <c r="V244" s="49"/>
      <c r="W244" s="49"/>
    </row>
    <row r="245" ht="15.75" customHeight="1">
      <c r="C245" s="49"/>
      <c r="I245" s="49"/>
      <c r="J245" s="49"/>
      <c r="O245" s="49"/>
      <c r="V245" s="49"/>
      <c r="W245" s="49"/>
    </row>
    <row r="246" ht="15.75" customHeight="1">
      <c r="C246" s="49"/>
      <c r="I246" s="49"/>
      <c r="J246" s="49"/>
      <c r="O246" s="49"/>
      <c r="V246" s="49"/>
      <c r="W246" s="49"/>
    </row>
    <row r="247" ht="15.75" customHeight="1">
      <c r="C247" s="49"/>
      <c r="I247" s="49"/>
      <c r="J247" s="49"/>
      <c r="O247" s="49"/>
      <c r="V247" s="49"/>
      <c r="W247" s="49"/>
    </row>
    <row r="248" ht="15.75" customHeight="1">
      <c r="C248" s="49"/>
      <c r="I248" s="49"/>
      <c r="J248" s="49"/>
      <c r="O248" s="49"/>
      <c r="V248" s="49"/>
      <c r="W248" s="49"/>
    </row>
    <row r="249" ht="15.75" customHeight="1">
      <c r="C249" s="49"/>
      <c r="I249" s="49"/>
      <c r="J249" s="49"/>
      <c r="O249" s="49"/>
      <c r="V249" s="49"/>
      <c r="W249" s="49"/>
    </row>
    <row r="250" ht="15.75" customHeight="1">
      <c r="C250" s="49"/>
      <c r="I250" s="49"/>
      <c r="J250" s="49"/>
      <c r="O250" s="49"/>
      <c r="V250" s="49"/>
      <c r="W250" s="49"/>
    </row>
    <row r="251" ht="15.75" customHeight="1">
      <c r="C251" s="49"/>
      <c r="I251" s="49"/>
      <c r="J251" s="49"/>
      <c r="O251" s="49"/>
      <c r="V251" s="49"/>
      <c r="W251" s="49"/>
    </row>
    <row r="252" ht="15.75" customHeight="1">
      <c r="C252" s="49"/>
      <c r="I252" s="49"/>
      <c r="J252" s="49"/>
      <c r="O252" s="49"/>
      <c r="V252" s="49"/>
      <c r="W252" s="49"/>
    </row>
    <row r="253" ht="15.75" customHeight="1">
      <c r="C253" s="49"/>
      <c r="I253" s="49"/>
      <c r="J253" s="49"/>
      <c r="O253" s="49"/>
      <c r="V253" s="49"/>
      <c r="W253" s="49"/>
    </row>
    <row r="254" ht="15.75" customHeight="1">
      <c r="C254" s="49"/>
      <c r="I254" s="49"/>
      <c r="J254" s="49"/>
      <c r="O254" s="49"/>
      <c r="V254" s="49"/>
      <c r="W254" s="49"/>
    </row>
    <row r="255" ht="15.75" customHeight="1">
      <c r="C255" s="49"/>
      <c r="I255" s="49"/>
      <c r="J255" s="49"/>
      <c r="O255" s="49"/>
      <c r="V255" s="49"/>
      <c r="W255" s="49"/>
    </row>
    <row r="256" ht="15.75" customHeight="1">
      <c r="C256" s="49"/>
      <c r="I256" s="49"/>
      <c r="J256" s="49"/>
      <c r="O256" s="49"/>
      <c r="V256" s="49"/>
      <c r="W256" s="49"/>
    </row>
    <row r="257" ht="15.75" customHeight="1">
      <c r="C257" s="49"/>
      <c r="I257" s="49"/>
      <c r="J257" s="49"/>
      <c r="O257" s="49"/>
      <c r="V257" s="49"/>
      <c r="W257" s="49"/>
    </row>
    <row r="258" ht="15.75" customHeight="1">
      <c r="C258" s="49"/>
      <c r="I258" s="49"/>
      <c r="J258" s="49"/>
      <c r="O258" s="49"/>
      <c r="V258" s="49"/>
      <c r="W258" s="49"/>
    </row>
    <row r="259" ht="15.75" customHeight="1">
      <c r="C259" s="49"/>
      <c r="I259" s="49"/>
      <c r="J259" s="49"/>
      <c r="O259" s="49"/>
      <c r="V259" s="49"/>
      <c r="W259" s="49"/>
    </row>
    <row r="260" ht="15.75" customHeight="1">
      <c r="C260" s="49"/>
      <c r="I260" s="49"/>
      <c r="J260" s="49"/>
      <c r="O260" s="49"/>
      <c r="V260" s="49"/>
      <c r="W260" s="49"/>
    </row>
    <row r="261" ht="15.75" customHeight="1">
      <c r="C261" s="49"/>
      <c r="I261" s="49"/>
      <c r="J261" s="49"/>
      <c r="O261" s="49"/>
      <c r="V261" s="49"/>
      <c r="W261" s="49"/>
    </row>
    <row r="262" ht="15.75" customHeight="1">
      <c r="C262" s="49"/>
      <c r="I262" s="49"/>
      <c r="J262" s="49"/>
      <c r="O262" s="49"/>
      <c r="V262" s="49"/>
      <c r="W262" s="49"/>
    </row>
    <row r="263" ht="15.75" customHeight="1">
      <c r="C263" s="49"/>
      <c r="I263" s="49"/>
      <c r="J263" s="49"/>
      <c r="O263" s="49"/>
      <c r="V263" s="49"/>
      <c r="W263" s="49"/>
    </row>
    <row r="264" ht="15.75" customHeight="1">
      <c r="C264" s="49"/>
      <c r="I264" s="49"/>
      <c r="J264" s="49"/>
      <c r="O264" s="49"/>
      <c r="V264" s="49"/>
      <c r="W264" s="49"/>
    </row>
    <row r="265" ht="15.75" customHeight="1">
      <c r="C265" s="49"/>
      <c r="I265" s="49"/>
      <c r="J265" s="49"/>
      <c r="O265" s="49"/>
      <c r="V265" s="49"/>
      <c r="W265" s="49"/>
    </row>
    <row r="266" ht="15.75" customHeight="1">
      <c r="C266" s="49"/>
      <c r="I266" s="49"/>
      <c r="J266" s="49"/>
      <c r="O266" s="49"/>
      <c r="V266" s="49"/>
      <c r="W266" s="49"/>
    </row>
    <row r="267" ht="15.75" customHeight="1">
      <c r="C267" s="49"/>
      <c r="I267" s="49"/>
      <c r="J267" s="49"/>
      <c r="O267" s="49"/>
      <c r="V267" s="49"/>
      <c r="W267" s="49"/>
    </row>
    <row r="268" ht="15.75" customHeight="1">
      <c r="C268" s="49"/>
      <c r="I268" s="49"/>
      <c r="J268" s="49"/>
      <c r="O268" s="49"/>
      <c r="V268" s="49"/>
      <c r="W268" s="49"/>
    </row>
    <row r="269" ht="15.75" customHeight="1">
      <c r="C269" s="49"/>
      <c r="I269" s="49"/>
      <c r="J269" s="49"/>
      <c r="O269" s="49"/>
      <c r="V269" s="49"/>
      <c r="W269" s="49"/>
    </row>
    <row r="270" ht="15.75" customHeight="1">
      <c r="C270" s="49"/>
      <c r="I270" s="49"/>
      <c r="J270" s="49"/>
      <c r="O270" s="49"/>
      <c r="V270" s="49"/>
      <c r="W270" s="49"/>
    </row>
    <row r="271" ht="15.75" customHeight="1">
      <c r="C271" s="49"/>
      <c r="I271" s="49"/>
      <c r="J271" s="49"/>
      <c r="O271" s="49"/>
      <c r="V271" s="49"/>
      <c r="W271" s="49"/>
    </row>
    <row r="272" ht="15.75" customHeight="1">
      <c r="C272" s="49"/>
      <c r="I272" s="49"/>
      <c r="J272" s="49"/>
      <c r="O272" s="49"/>
      <c r="V272" s="49"/>
      <c r="W272" s="49"/>
    </row>
    <row r="273" ht="15.75" customHeight="1">
      <c r="C273" s="49"/>
      <c r="I273" s="49"/>
      <c r="J273" s="49"/>
      <c r="O273" s="49"/>
      <c r="V273" s="49"/>
      <c r="W273" s="49"/>
    </row>
    <row r="274" ht="15.75" customHeight="1">
      <c r="C274" s="49"/>
      <c r="I274" s="49"/>
      <c r="J274" s="49"/>
      <c r="O274" s="49"/>
      <c r="V274" s="49"/>
      <c r="W274" s="49"/>
    </row>
    <row r="275" ht="15.75" customHeight="1">
      <c r="C275" s="49"/>
      <c r="I275" s="49"/>
      <c r="J275" s="49"/>
      <c r="O275" s="49"/>
      <c r="V275" s="49"/>
      <c r="W275" s="49"/>
    </row>
    <row r="276" ht="15.75" customHeight="1">
      <c r="C276" s="49"/>
      <c r="I276" s="49"/>
      <c r="J276" s="49"/>
      <c r="O276" s="49"/>
      <c r="V276" s="49"/>
      <c r="W276" s="49"/>
    </row>
    <row r="277" ht="15.75" customHeight="1">
      <c r="C277" s="49"/>
      <c r="I277" s="49"/>
      <c r="J277" s="49"/>
      <c r="O277" s="49"/>
      <c r="V277" s="49"/>
      <c r="W277" s="49"/>
    </row>
    <row r="278" ht="15.75" customHeight="1">
      <c r="C278" s="49"/>
      <c r="I278" s="49"/>
      <c r="J278" s="49"/>
      <c r="O278" s="49"/>
      <c r="V278" s="49"/>
      <c r="W278" s="49"/>
    </row>
    <row r="279" ht="15.75" customHeight="1">
      <c r="C279" s="49"/>
      <c r="I279" s="49"/>
      <c r="J279" s="49"/>
      <c r="O279" s="49"/>
      <c r="V279" s="49"/>
      <c r="W279" s="49"/>
    </row>
    <row r="280" ht="15.75" customHeight="1">
      <c r="C280" s="49"/>
      <c r="I280" s="49"/>
      <c r="J280" s="49"/>
      <c r="O280" s="49"/>
      <c r="V280" s="49"/>
      <c r="W280" s="49"/>
    </row>
    <row r="281" ht="15.75" customHeight="1">
      <c r="C281" s="49"/>
      <c r="I281" s="49"/>
      <c r="J281" s="49"/>
      <c r="O281" s="49"/>
      <c r="V281" s="49"/>
      <c r="W281" s="49"/>
    </row>
    <row r="282" ht="15.75" customHeight="1">
      <c r="C282" s="49"/>
      <c r="I282" s="49"/>
      <c r="J282" s="49"/>
      <c r="O282" s="49"/>
      <c r="V282" s="49"/>
      <c r="W282" s="49"/>
    </row>
    <row r="283" ht="15.75" customHeight="1">
      <c r="C283" s="49"/>
      <c r="I283" s="49"/>
      <c r="J283" s="49"/>
      <c r="O283" s="49"/>
      <c r="V283" s="49"/>
      <c r="W283" s="49"/>
    </row>
    <row r="284" ht="15.75" customHeight="1">
      <c r="C284" s="49"/>
      <c r="I284" s="49"/>
      <c r="J284" s="49"/>
      <c r="O284" s="49"/>
      <c r="V284" s="49"/>
      <c r="W284" s="49"/>
    </row>
    <row r="285" ht="15.75" customHeight="1">
      <c r="C285" s="49"/>
      <c r="I285" s="49"/>
      <c r="J285" s="49"/>
      <c r="O285" s="49"/>
      <c r="V285" s="49"/>
      <c r="W285" s="49"/>
    </row>
    <row r="286" ht="15.75" customHeight="1">
      <c r="C286" s="49"/>
      <c r="I286" s="49"/>
      <c r="J286" s="49"/>
      <c r="O286" s="49"/>
      <c r="V286" s="49"/>
      <c r="W286" s="49"/>
    </row>
    <row r="287" ht="15.75" customHeight="1">
      <c r="C287" s="49"/>
      <c r="I287" s="49"/>
      <c r="J287" s="49"/>
      <c r="O287" s="49"/>
      <c r="V287" s="49"/>
      <c r="W287" s="49"/>
    </row>
    <row r="288" ht="15.75" customHeight="1">
      <c r="C288" s="49"/>
      <c r="I288" s="49"/>
      <c r="J288" s="49"/>
      <c r="O288" s="49"/>
      <c r="V288" s="49"/>
      <c r="W288" s="49"/>
    </row>
    <row r="289" ht="15.75" customHeight="1">
      <c r="C289" s="49"/>
      <c r="I289" s="49"/>
      <c r="J289" s="49"/>
      <c r="O289" s="49"/>
      <c r="V289" s="49"/>
      <c r="W289" s="49"/>
    </row>
    <row r="290" ht="15.75" customHeight="1">
      <c r="C290" s="49"/>
      <c r="I290" s="49"/>
      <c r="J290" s="49"/>
      <c r="O290" s="49"/>
      <c r="V290" s="49"/>
      <c r="W290" s="49"/>
    </row>
    <row r="291" ht="15.75" customHeight="1">
      <c r="C291" s="49"/>
      <c r="I291" s="49"/>
      <c r="J291" s="49"/>
      <c r="O291" s="49"/>
      <c r="V291" s="49"/>
      <c r="W291" s="49"/>
    </row>
    <row r="292" ht="15.75" customHeight="1">
      <c r="C292" s="49"/>
      <c r="I292" s="49"/>
      <c r="J292" s="49"/>
      <c r="O292" s="49"/>
      <c r="V292" s="49"/>
      <c r="W292" s="49"/>
    </row>
    <row r="293" ht="15.75" customHeight="1">
      <c r="C293" s="49"/>
      <c r="I293" s="49"/>
      <c r="J293" s="49"/>
      <c r="O293" s="49"/>
      <c r="V293" s="49"/>
      <c r="W293" s="49"/>
    </row>
    <row r="294" ht="15.75" customHeight="1">
      <c r="C294" s="49"/>
      <c r="I294" s="49"/>
      <c r="J294" s="49"/>
      <c r="O294" s="49"/>
      <c r="V294" s="49"/>
      <c r="W294" s="49"/>
    </row>
    <row r="295" ht="15.75" customHeight="1">
      <c r="C295" s="49"/>
      <c r="I295" s="49"/>
      <c r="J295" s="49"/>
      <c r="O295" s="49"/>
      <c r="V295" s="49"/>
      <c r="W295" s="49"/>
    </row>
    <row r="296" ht="15.75" customHeight="1">
      <c r="C296" s="49"/>
      <c r="I296" s="49"/>
      <c r="J296" s="49"/>
      <c r="O296" s="49"/>
      <c r="V296" s="49"/>
      <c r="W296" s="49"/>
    </row>
    <row r="297" ht="15.75" customHeight="1">
      <c r="C297" s="49"/>
      <c r="I297" s="49"/>
      <c r="J297" s="49"/>
      <c r="O297" s="49"/>
      <c r="V297" s="49"/>
      <c r="W297" s="49"/>
    </row>
    <row r="298" ht="15.75" customHeight="1">
      <c r="C298" s="49"/>
      <c r="I298" s="49"/>
      <c r="J298" s="49"/>
      <c r="O298" s="49"/>
      <c r="V298" s="49"/>
      <c r="W298" s="49"/>
    </row>
    <row r="299" ht="15.75" customHeight="1">
      <c r="C299" s="49"/>
      <c r="I299" s="49"/>
      <c r="J299" s="49"/>
      <c r="O299" s="49"/>
      <c r="V299" s="49"/>
      <c r="W299" s="49"/>
    </row>
    <row r="300" ht="15.75" customHeight="1">
      <c r="C300" s="49"/>
      <c r="I300" s="49"/>
      <c r="J300" s="49"/>
      <c r="O300" s="49"/>
      <c r="V300" s="49"/>
      <c r="W300" s="49"/>
    </row>
    <row r="301" ht="15.75" customHeight="1">
      <c r="C301" s="49"/>
      <c r="I301" s="49"/>
      <c r="J301" s="49"/>
      <c r="O301" s="49"/>
      <c r="V301" s="49"/>
      <c r="W301" s="49"/>
    </row>
    <row r="302" ht="15.75" customHeight="1">
      <c r="C302" s="49"/>
      <c r="I302" s="49"/>
      <c r="J302" s="49"/>
      <c r="O302" s="49"/>
      <c r="V302" s="49"/>
      <c r="W302" s="49"/>
    </row>
    <row r="303" ht="15.75" customHeight="1">
      <c r="C303" s="49"/>
      <c r="I303" s="49"/>
      <c r="J303" s="49"/>
      <c r="O303" s="49"/>
      <c r="V303" s="49"/>
      <c r="W303" s="49"/>
    </row>
    <row r="304" ht="15.75" customHeight="1">
      <c r="C304" s="49"/>
      <c r="I304" s="49"/>
      <c r="J304" s="49"/>
      <c r="O304" s="49"/>
      <c r="V304" s="49"/>
      <c r="W304" s="49"/>
    </row>
    <row r="305" ht="15.75" customHeight="1">
      <c r="C305" s="49"/>
      <c r="I305" s="49"/>
      <c r="J305" s="49"/>
      <c r="O305" s="49"/>
      <c r="V305" s="49"/>
      <c r="W305" s="49"/>
    </row>
    <row r="306" ht="15.75" customHeight="1">
      <c r="C306" s="49"/>
      <c r="I306" s="49"/>
      <c r="J306" s="49"/>
      <c r="O306" s="49"/>
      <c r="V306" s="49"/>
      <c r="W306" s="49"/>
    </row>
    <row r="307" ht="15.75" customHeight="1">
      <c r="C307" s="49"/>
      <c r="I307" s="49"/>
      <c r="J307" s="49"/>
      <c r="O307" s="49"/>
      <c r="V307" s="49"/>
      <c r="W307" s="49"/>
    </row>
    <row r="308" ht="15.75" customHeight="1">
      <c r="C308" s="49"/>
      <c r="I308" s="49"/>
      <c r="J308" s="49"/>
      <c r="O308" s="49"/>
      <c r="V308" s="49"/>
      <c r="W308" s="49"/>
    </row>
    <row r="309" ht="15.75" customHeight="1">
      <c r="C309" s="49"/>
      <c r="I309" s="49"/>
      <c r="J309" s="49"/>
      <c r="O309" s="49"/>
      <c r="V309" s="49"/>
      <c r="W309" s="49"/>
    </row>
    <row r="310" ht="15.75" customHeight="1">
      <c r="C310" s="49"/>
      <c r="I310" s="49"/>
      <c r="J310" s="49"/>
      <c r="O310" s="49"/>
      <c r="V310" s="49"/>
      <c r="W310" s="49"/>
    </row>
    <row r="311" ht="15.75" customHeight="1">
      <c r="C311" s="49"/>
      <c r="I311" s="49"/>
      <c r="J311" s="49"/>
      <c r="O311" s="49"/>
      <c r="V311" s="49"/>
      <c r="W311" s="49"/>
    </row>
    <row r="312" ht="15.75" customHeight="1">
      <c r="C312" s="49"/>
      <c r="I312" s="49"/>
      <c r="J312" s="49"/>
      <c r="O312" s="49"/>
      <c r="V312" s="49"/>
      <c r="W312" s="49"/>
    </row>
    <row r="313" ht="15.75" customHeight="1">
      <c r="C313" s="49"/>
      <c r="I313" s="49"/>
      <c r="J313" s="49"/>
      <c r="O313" s="49"/>
      <c r="V313" s="49"/>
      <c r="W313" s="49"/>
    </row>
    <row r="314" ht="15.75" customHeight="1">
      <c r="C314" s="49"/>
      <c r="I314" s="49"/>
      <c r="J314" s="49"/>
      <c r="O314" s="49"/>
      <c r="V314" s="49"/>
      <c r="W314" s="49"/>
    </row>
    <row r="315" ht="15.75" customHeight="1">
      <c r="C315" s="49"/>
      <c r="I315" s="49"/>
      <c r="J315" s="49"/>
      <c r="O315" s="49"/>
      <c r="V315" s="49"/>
      <c r="W315" s="49"/>
    </row>
    <row r="316" ht="15.75" customHeight="1">
      <c r="C316" s="49"/>
      <c r="I316" s="49"/>
      <c r="J316" s="49"/>
      <c r="O316" s="49"/>
      <c r="V316" s="49"/>
      <c r="W316" s="49"/>
    </row>
    <row r="317" ht="15.75" customHeight="1">
      <c r="C317" s="49"/>
      <c r="I317" s="49"/>
      <c r="J317" s="49"/>
      <c r="O317" s="49"/>
      <c r="V317" s="49"/>
      <c r="W317" s="49"/>
    </row>
    <row r="318" ht="15.75" customHeight="1">
      <c r="C318" s="49"/>
      <c r="I318" s="49"/>
      <c r="J318" s="49"/>
      <c r="O318" s="49"/>
      <c r="V318" s="49"/>
      <c r="W318" s="49"/>
    </row>
    <row r="319" ht="15.75" customHeight="1">
      <c r="C319" s="49"/>
      <c r="I319" s="49"/>
      <c r="J319" s="49"/>
      <c r="O319" s="49"/>
      <c r="V319" s="49"/>
      <c r="W319" s="49"/>
    </row>
    <row r="320" ht="15.75" customHeight="1">
      <c r="C320" s="49"/>
      <c r="I320" s="49"/>
      <c r="J320" s="49"/>
      <c r="O320" s="49"/>
      <c r="V320" s="49"/>
      <c r="W320" s="49"/>
    </row>
    <row r="321" ht="15.75" customHeight="1">
      <c r="C321" s="49"/>
      <c r="I321" s="49"/>
      <c r="J321" s="49"/>
      <c r="O321" s="49"/>
      <c r="V321" s="49"/>
      <c r="W321" s="49"/>
    </row>
    <row r="322" ht="15.75" customHeight="1">
      <c r="C322" s="49"/>
      <c r="I322" s="49"/>
      <c r="J322" s="49"/>
      <c r="O322" s="49"/>
      <c r="V322" s="49"/>
      <c r="W322" s="49"/>
    </row>
    <row r="323" ht="15.75" customHeight="1">
      <c r="C323" s="49"/>
      <c r="I323" s="49"/>
      <c r="J323" s="49"/>
      <c r="O323" s="49"/>
      <c r="V323" s="49"/>
      <c r="W323" s="49"/>
    </row>
    <row r="324" ht="15.75" customHeight="1">
      <c r="C324" s="49"/>
      <c r="I324" s="49"/>
      <c r="J324" s="49"/>
      <c r="O324" s="49"/>
      <c r="V324" s="49"/>
      <c r="W324" s="49"/>
    </row>
    <row r="325" ht="15.75" customHeight="1">
      <c r="C325" s="49"/>
      <c r="I325" s="49"/>
      <c r="J325" s="49"/>
      <c r="O325" s="49"/>
      <c r="V325" s="49"/>
      <c r="W325" s="49"/>
    </row>
    <row r="326" ht="15.75" customHeight="1">
      <c r="C326" s="49"/>
      <c r="I326" s="49"/>
      <c r="J326" s="49"/>
      <c r="O326" s="49"/>
      <c r="V326" s="49"/>
      <c r="W326" s="49"/>
    </row>
    <row r="327" ht="15.75" customHeight="1">
      <c r="C327" s="49"/>
      <c r="I327" s="49"/>
      <c r="J327" s="49"/>
      <c r="O327" s="49"/>
      <c r="V327" s="49"/>
      <c r="W327" s="49"/>
    </row>
    <row r="328" ht="15.75" customHeight="1">
      <c r="C328" s="49"/>
      <c r="I328" s="49"/>
      <c r="J328" s="49"/>
      <c r="O328" s="49"/>
      <c r="V328" s="49"/>
      <c r="W328" s="49"/>
    </row>
    <row r="329" ht="15.75" customHeight="1">
      <c r="C329" s="49"/>
      <c r="I329" s="49"/>
      <c r="J329" s="49"/>
      <c r="O329" s="49"/>
      <c r="V329" s="49"/>
      <c r="W329" s="49"/>
    </row>
    <row r="330" ht="15.75" customHeight="1">
      <c r="C330" s="49"/>
      <c r="I330" s="49"/>
      <c r="J330" s="49"/>
      <c r="O330" s="49"/>
      <c r="V330" s="49"/>
      <c r="W330" s="49"/>
    </row>
    <row r="331" ht="15.75" customHeight="1">
      <c r="C331" s="49"/>
      <c r="I331" s="49"/>
      <c r="J331" s="49"/>
      <c r="O331" s="49"/>
      <c r="V331" s="49"/>
      <c r="W331" s="49"/>
    </row>
    <row r="332" ht="15.75" customHeight="1">
      <c r="C332" s="49"/>
      <c r="I332" s="49"/>
      <c r="J332" s="49"/>
      <c r="O332" s="49"/>
      <c r="V332" s="49"/>
      <c r="W332" s="49"/>
    </row>
    <row r="333" ht="15.75" customHeight="1">
      <c r="C333" s="49"/>
      <c r="I333" s="49"/>
      <c r="J333" s="49"/>
      <c r="O333" s="49"/>
      <c r="V333" s="49"/>
      <c r="W333" s="49"/>
    </row>
    <row r="334" ht="15.75" customHeight="1">
      <c r="C334" s="49"/>
      <c r="I334" s="49"/>
      <c r="J334" s="49"/>
      <c r="O334" s="49"/>
      <c r="V334" s="49"/>
      <c r="W334" s="49"/>
    </row>
    <row r="335" ht="15.75" customHeight="1">
      <c r="C335" s="49"/>
      <c r="I335" s="49"/>
      <c r="J335" s="49"/>
      <c r="O335" s="49"/>
      <c r="V335" s="49"/>
      <c r="W335" s="49"/>
    </row>
    <row r="336" ht="15.75" customHeight="1">
      <c r="C336" s="49"/>
      <c r="I336" s="49"/>
      <c r="J336" s="49"/>
      <c r="O336" s="49"/>
      <c r="V336" s="49"/>
      <c r="W336" s="49"/>
    </row>
    <row r="337" ht="15.75" customHeight="1">
      <c r="C337" s="49"/>
      <c r="I337" s="49"/>
      <c r="J337" s="49"/>
      <c r="O337" s="49"/>
      <c r="V337" s="49"/>
      <c r="W337" s="49"/>
    </row>
    <row r="338" ht="15.75" customHeight="1">
      <c r="C338" s="49"/>
      <c r="I338" s="49"/>
      <c r="J338" s="49"/>
      <c r="O338" s="49"/>
      <c r="V338" s="49"/>
      <c r="W338" s="49"/>
    </row>
    <row r="339" ht="15.75" customHeight="1">
      <c r="C339" s="49"/>
      <c r="I339" s="49"/>
      <c r="J339" s="49"/>
      <c r="O339" s="49"/>
      <c r="V339" s="49"/>
      <c r="W339" s="49"/>
    </row>
    <row r="340" ht="15.75" customHeight="1">
      <c r="C340" s="49"/>
      <c r="I340" s="49"/>
      <c r="J340" s="49"/>
      <c r="O340" s="49"/>
      <c r="V340" s="49"/>
      <c r="W340" s="49"/>
    </row>
    <row r="341" ht="15.75" customHeight="1">
      <c r="C341" s="49"/>
      <c r="I341" s="49"/>
      <c r="J341" s="49"/>
      <c r="O341" s="49"/>
      <c r="V341" s="49"/>
      <c r="W341" s="49"/>
    </row>
    <row r="342" ht="15.75" customHeight="1">
      <c r="C342" s="49"/>
      <c r="I342" s="49"/>
      <c r="J342" s="49"/>
      <c r="O342" s="49"/>
      <c r="V342" s="49"/>
      <c r="W342" s="49"/>
    </row>
    <row r="343" ht="15.75" customHeight="1">
      <c r="C343" s="49"/>
      <c r="I343" s="49"/>
      <c r="J343" s="49"/>
      <c r="O343" s="49"/>
      <c r="V343" s="49"/>
      <c r="W343" s="49"/>
    </row>
    <row r="344" ht="15.75" customHeight="1">
      <c r="C344" s="49"/>
      <c r="I344" s="49"/>
      <c r="J344" s="49"/>
      <c r="O344" s="49"/>
      <c r="V344" s="49"/>
      <c r="W344" s="49"/>
    </row>
    <row r="345" ht="15.75" customHeight="1">
      <c r="C345" s="49"/>
      <c r="I345" s="49"/>
      <c r="J345" s="49"/>
      <c r="O345" s="49"/>
      <c r="V345" s="49"/>
      <c r="W345" s="49"/>
    </row>
    <row r="346" ht="15.75" customHeight="1">
      <c r="C346" s="49"/>
      <c r="I346" s="49"/>
      <c r="J346" s="49"/>
      <c r="O346" s="49"/>
      <c r="V346" s="49"/>
      <c r="W346" s="49"/>
    </row>
    <row r="347" ht="15.75" customHeight="1">
      <c r="C347" s="49"/>
      <c r="I347" s="49"/>
      <c r="J347" s="49"/>
      <c r="O347" s="49"/>
      <c r="V347" s="49"/>
      <c r="W347" s="49"/>
    </row>
    <row r="348" ht="15.75" customHeight="1">
      <c r="C348" s="49"/>
      <c r="I348" s="49"/>
      <c r="J348" s="49"/>
      <c r="O348" s="49"/>
      <c r="V348" s="49"/>
      <c r="W348" s="49"/>
    </row>
    <row r="349" ht="15.75" customHeight="1">
      <c r="C349" s="49"/>
      <c r="I349" s="49"/>
      <c r="J349" s="49"/>
      <c r="O349" s="49"/>
      <c r="V349" s="49"/>
      <c r="W349" s="49"/>
    </row>
    <row r="350" ht="15.75" customHeight="1">
      <c r="C350" s="49"/>
      <c r="I350" s="49"/>
      <c r="J350" s="49"/>
      <c r="O350" s="49"/>
      <c r="V350" s="49"/>
      <c r="W350" s="49"/>
    </row>
    <row r="351" ht="15.75" customHeight="1">
      <c r="C351" s="49"/>
      <c r="I351" s="49"/>
      <c r="J351" s="49"/>
      <c r="O351" s="49"/>
      <c r="V351" s="49"/>
      <c r="W351" s="49"/>
    </row>
    <row r="352" ht="15.75" customHeight="1">
      <c r="C352" s="49"/>
      <c r="I352" s="49"/>
      <c r="J352" s="49"/>
      <c r="O352" s="49"/>
      <c r="V352" s="49"/>
      <c r="W352" s="49"/>
    </row>
    <row r="353" ht="15.75" customHeight="1">
      <c r="C353" s="49"/>
      <c r="I353" s="49"/>
      <c r="J353" s="49"/>
      <c r="O353" s="49"/>
      <c r="V353" s="49"/>
      <c r="W353" s="49"/>
    </row>
    <row r="354" ht="15.75" customHeight="1">
      <c r="C354" s="49"/>
      <c r="I354" s="49"/>
      <c r="J354" s="49"/>
      <c r="O354" s="49"/>
      <c r="V354" s="49"/>
      <c r="W354" s="49"/>
    </row>
    <row r="355" ht="15.75" customHeight="1">
      <c r="C355" s="49"/>
      <c r="I355" s="49"/>
      <c r="J355" s="49"/>
      <c r="O355" s="49"/>
      <c r="V355" s="49"/>
      <c r="W355" s="49"/>
    </row>
    <row r="356" ht="15.75" customHeight="1">
      <c r="C356" s="49"/>
      <c r="I356" s="49"/>
      <c r="J356" s="49"/>
      <c r="O356" s="49"/>
      <c r="V356" s="49"/>
      <c r="W356" s="49"/>
    </row>
    <row r="357" ht="15.75" customHeight="1">
      <c r="C357" s="49"/>
      <c r="I357" s="49"/>
      <c r="J357" s="49"/>
      <c r="O357" s="49"/>
      <c r="V357" s="49"/>
      <c r="W357" s="49"/>
    </row>
    <row r="358" ht="15.75" customHeight="1">
      <c r="C358" s="49"/>
      <c r="I358" s="49"/>
      <c r="J358" s="49"/>
      <c r="O358" s="49"/>
      <c r="V358" s="49"/>
      <c r="W358" s="49"/>
    </row>
    <row r="359" ht="15.75" customHeight="1">
      <c r="C359" s="49"/>
      <c r="I359" s="49"/>
      <c r="J359" s="49"/>
      <c r="O359" s="49"/>
      <c r="V359" s="49"/>
      <c r="W359" s="49"/>
    </row>
    <row r="360" ht="15.75" customHeight="1">
      <c r="C360" s="49"/>
      <c r="I360" s="49"/>
      <c r="J360" s="49"/>
      <c r="O360" s="49"/>
      <c r="V360" s="49"/>
      <c r="W360" s="49"/>
    </row>
    <row r="361" ht="15.75" customHeight="1">
      <c r="C361" s="49"/>
      <c r="I361" s="49"/>
      <c r="J361" s="49"/>
      <c r="O361" s="49"/>
      <c r="V361" s="49"/>
      <c r="W361" s="49"/>
    </row>
    <row r="362" ht="15.75" customHeight="1">
      <c r="C362" s="49"/>
      <c r="I362" s="49"/>
      <c r="J362" s="49"/>
      <c r="O362" s="49"/>
      <c r="V362" s="49"/>
      <c r="W362" s="49"/>
    </row>
    <row r="363" ht="15.75" customHeight="1">
      <c r="C363" s="49"/>
      <c r="I363" s="49"/>
      <c r="J363" s="49"/>
      <c r="O363" s="49"/>
      <c r="V363" s="49"/>
      <c r="W363" s="49"/>
    </row>
    <row r="364" ht="15.75" customHeight="1">
      <c r="C364" s="49"/>
      <c r="I364" s="49"/>
      <c r="J364" s="49"/>
      <c r="O364" s="49"/>
      <c r="V364" s="49"/>
      <c r="W364" s="49"/>
    </row>
    <row r="365" ht="15.75" customHeight="1">
      <c r="C365" s="49"/>
      <c r="I365" s="49"/>
      <c r="J365" s="49"/>
      <c r="O365" s="49"/>
      <c r="V365" s="49"/>
      <c r="W365" s="49"/>
    </row>
    <row r="366" ht="15.75" customHeight="1">
      <c r="C366" s="49"/>
      <c r="I366" s="49"/>
      <c r="J366" s="49"/>
      <c r="O366" s="49"/>
      <c r="V366" s="49"/>
      <c r="W366" s="49"/>
    </row>
    <row r="367" ht="15.75" customHeight="1">
      <c r="C367" s="49"/>
      <c r="I367" s="49"/>
      <c r="J367" s="49"/>
      <c r="O367" s="49"/>
      <c r="V367" s="49"/>
      <c r="W367" s="49"/>
    </row>
    <row r="368" ht="15.75" customHeight="1">
      <c r="C368" s="49"/>
      <c r="I368" s="49"/>
      <c r="J368" s="49"/>
      <c r="O368" s="49"/>
      <c r="V368" s="49"/>
      <c r="W368" s="49"/>
    </row>
    <row r="369" ht="15.75" customHeight="1">
      <c r="C369" s="49"/>
      <c r="I369" s="49"/>
      <c r="J369" s="49"/>
      <c r="O369" s="49"/>
      <c r="V369" s="49"/>
      <c r="W369" s="49"/>
    </row>
    <row r="370" ht="15.75" customHeight="1">
      <c r="C370" s="49"/>
      <c r="I370" s="49"/>
      <c r="J370" s="49"/>
      <c r="O370" s="49"/>
      <c r="V370" s="49"/>
      <c r="W370" s="49"/>
    </row>
    <row r="371" ht="15.75" customHeight="1">
      <c r="C371" s="49"/>
      <c r="I371" s="49"/>
      <c r="J371" s="49"/>
      <c r="O371" s="49"/>
      <c r="V371" s="49"/>
      <c r="W371" s="49"/>
    </row>
    <row r="372" ht="15.75" customHeight="1">
      <c r="C372" s="49"/>
      <c r="I372" s="49"/>
      <c r="J372" s="49"/>
      <c r="O372" s="49"/>
      <c r="V372" s="49"/>
      <c r="W372" s="49"/>
    </row>
    <row r="373" ht="15.75" customHeight="1">
      <c r="C373" s="49"/>
      <c r="I373" s="49"/>
      <c r="J373" s="49"/>
      <c r="O373" s="49"/>
      <c r="V373" s="49"/>
      <c r="W373" s="49"/>
    </row>
    <row r="374" ht="15.75" customHeight="1">
      <c r="C374" s="49"/>
      <c r="I374" s="49"/>
      <c r="J374" s="49"/>
      <c r="O374" s="49"/>
      <c r="V374" s="49"/>
      <c r="W374" s="49"/>
    </row>
    <row r="375" ht="15.75" customHeight="1">
      <c r="C375" s="49"/>
      <c r="I375" s="49"/>
      <c r="J375" s="49"/>
      <c r="O375" s="49"/>
      <c r="V375" s="49"/>
      <c r="W375" s="49"/>
    </row>
    <row r="376" ht="15.75" customHeight="1">
      <c r="C376" s="49"/>
      <c r="I376" s="49"/>
      <c r="J376" s="49"/>
      <c r="O376" s="49"/>
      <c r="V376" s="49"/>
      <c r="W376" s="49"/>
    </row>
    <row r="377" ht="15.75" customHeight="1">
      <c r="C377" s="49"/>
      <c r="I377" s="49"/>
      <c r="J377" s="49"/>
      <c r="O377" s="49"/>
      <c r="V377" s="49"/>
      <c r="W377" s="49"/>
    </row>
    <row r="378" ht="15.75" customHeight="1">
      <c r="C378" s="49"/>
      <c r="I378" s="49"/>
      <c r="J378" s="49"/>
      <c r="O378" s="49"/>
      <c r="V378" s="49"/>
      <c r="W378" s="49"/>
    </row>
    <row r="379" ht="15.75" customHeight="1">
      <c r="C379" s="49"/>
      <c r="I379" s="49"/>
      <c r="J379" s="49"/>
      <c r="O379" s="49"/>
      <c r="V379" s="49"/>
      <c r="W379" s="49"/>
    </row>
    <row r="380" ht="15.75" customHeight="1">
      <c r="C380" s="49"/>
      <c r="I380" s="49"/>
      <c r="J380" s="49"/>
      <c r="O380" s="49"/>
      <c r="V380" s="49"/>
      <c r="W380" s="49"/>
    </row>
    <row r="381" ht="15.75" customHeight="1">
      <c r="C381" s="49"/>
      <c r="I381" s="49"/>
      <c r="J381" s="49"/>
      <c r="O381" s="49"/>
      <c r="V381" s="49"/>
      <c r="W381" s="49"/>
    </row>
    <row r="382" ht="15.75" customHeight="1">
      <c r="C382" s="49"/>
      <c r="I382" s="49"/>
      <c r="J382" s="49"/>
      <c r="O382" s="49"/>
      <c r="V382" s="49"/>
      <c r="W382" s="49"/>
    </row>
    <row r="383" ht="15.75" customHeight="1">
      <c r="C383" s="49"/>
      <c r="I383" s="49"/>
      <c r="J383" s="49"/>
      <c r="O383" s="49"/>
      <c r="V383" s="49"/>
      <c r="W383" s="49"/>
    </row>
    <row r="384" ht="15.75" customHeight="1">
      <c r="C384" s="49"/>
      <c r="I384" s="49"/>
      <c r="J384" s="49"/>
      <c r="O384" s="49"/>
      <c r="V384" s="49"/>
      <c r="W384" s="49"/>
    </row>
    <row r="385" ht="15.75" customHeight="1">
      <c r="C385" s="49"/>
      <c r="I385" s="49"/>
      <c r="J385" s="49"/>
      <c r="O385" s="49"/>
      <c r="V385" s="49"/>
      <c r="W385" s="49"/>
    </row>
    <row r="386" ht="15.75" customHeight="1">
      <c r="C386" s="49"/>
      <c r="I386" s="49"/>
      <c r="J386" s="49"/>
      <c r="O386" s="49"/>
      <c r="V386" s="49"/>
      <c r="W386" s="49"/>
    </row>
    <row r="387" ht="15.75" customHeight="1">
      <c r="C387" s="49"/>
      <c r="I387" s="49"/>
      <c r="J387" s="49"/>
      <c r="O387" s="49"/>
      <c r="V387" s="49"/>
      <c r="W387" s="49"/>
    </row>
    <row r="388" ht="15.75" customHeight="1">
      <c r="C388" s="49"/>
      <c r="I388" s="49"/>
      <c r="J388" s="49"/>
      <c r="O388" s="49"/>
      <c r="V388" s="49"/>
      <c r="W388" s="49"/>
    </row>
    <row r="389" ht="15.75" customHeight="1">
      <c r="C389" s="49"/>
      <c r="I389" s="49"/>
      <c r="J389" s="49"/>
      <c r="O389" s="49"/>
      <c r="V389" s="49"/>
      <c r="W389" s="49"/>
    </row>
    <row r="390" ht="15.75" customHeight="1">
      <c r="C390" s="49"/>
      <c r="I390" s="49"/>
      <c r="J390" s="49"/>
      <c r="O390" s="49"/>
      <c r="V390" s="49"/>
      <c r="W390" s="49"/>
    </row>
    <row r="391" ht="15.75" customHeight="1">
      <c r="C391" s="49"/>
      <c r="I391" s="49"/>
      <c r="J391" s="49"/>
      <c r="O391" s="49"/>
      <c r="V391" s="49"/>
      <c r="W391" s="49"/>
    </row>
    <row r="392" ht="15.75" customHeight="1">
      <c r="C392" s="49"/>
      <c r="I392" s="49"/>
      <c r="J392" s="49"/>
      <c r="O392" s="49"/>
      <c r="V392" s="49"/>
      <c r="W392" s="49"/>
    </row>
    <row r="393" ht="15.75" customHeight="1">
      <c r="C393" s="49"/>
      <c r="I393" s="49"/>
      <c r="J393" s="49"/>
      <c r="O393" s="49"/>
      <c r="V393" s="49"/>
      <c r="W393" s="49"/>
    </row>
    <row r="394" ht="15.75" customHeight="1">
      <c r="C394" s="49"/>
      <c r="I394" s="49"/>
      <c r="J394" s="49"/>
      <c r="O394" s="49"/>
      <c r="V394" s="49"/>
      <c r="W394" s="49"/>
    </row>
    <row r="395" ht="15.75" customHeight="1">
      <c r="C395" s="49"/>
      <c r="I395" s="49"/>
      <c r="J395" s="49"/>
      <c r="O395" s="49"/>
      <c r="V395" s="49"/>
      <c r="W395" s="49"/>
    </row>
    <row r="396" ht="15.75" customHeight="1">
      <c r="C396" s="49"/>
      <c r="I396" s="49"/>
      <c r="J396" s="49"/>
      <c r="O396" s="49"/>
      <c r="V396" s="49"/>
      <c r="W396" s="49"/>
    </row>
    <row r="397" ht="15.75" customHeight="1">
      <c r="C397" s="49"/>
      <c r="I397" s="49"/>
      <c r="J397" s="49"/>
      <c r="O397" s="49"/>
      <c r="V397" s="49"/>
      <c r="W397" s="49"/>
    </row>
    <row r="398" ht="15.75" customHeight="1">
      <c r="C398" s="49"/>
      <c r="I398" s="49"/>
      <c r="J398" s="49"/>
      <c r="O398" s="49"/>
      <c r="V398" s="49"/>
      <c r="W398" s="49"/>
    </row>
    <row r="399" ht="15.75" customHeight="1">
      <c r="C399" s="49"/>
      <c r="I399" s="49"/>
      <c r="J399" s="49"/>
      <c r="O399" s="49"/>
      <c r="V399" s="49"/>
      <c r="W399" s="49"/>
    </row>
    <row r="400" ht="15.75" customHeight="1">
      <c r="C400" s="49"/>
      <c r="I400" s="49"/>
      <c r="J400" s="49"/>
      <c r="O400" s="49"/>
      <c r="V400" s="49"/>
      <c r="W400" s="49"/>
    </row>
    <row r="401" ht="15.75" customHeight="1">
      <c r="C401" s="49"/>
      <c r="I401" s="49"/>
      <c r="J401" s="49"/>
      <c r="O401" s="49"/>
      <c r="V401" s="49"/>
      <c r="W401" s="49"/>
    </row>
    <row r="402" ht="15.75" customHeight="1">
      <c r="C402" s="49"/>
      <c r="I402" s="49"/>
      <c r="J402" s="49"/>
      <c r="O402" s="49"/>
      <c r="V402" s="49"/>
      <c r="W402" s="49"/>
    </row>
    <row r="403" ht="15.75" customHeight="1">
      <c r="C403" s="49"/>
      <c r="I403" s="49"/>
      <c r="J403" s="49"/>
      <c r="O403" s="49"/>
      <c r="V403" s="49"/>
      <c r="W403" s="49"/>
    </row>
    <row r="404" ht="15.75" customHeight="1">
      <c r="C404" s="49"/>
      <c r="I404" s="49"/>
      <c r="J404" s="49"/>
      <c r="O404" s="49"/>
      <c r="V404" s="49"/>
      <c r="W404" s="49"/>
    </row>
    <row r="405" ht="15.75" customHeight="1">
      <c r="C405" s="49"/>
      <c r="I405" s="49"/>
      <c r="J405" s="49"/>
      <c r="O405" s="49"/>
      <c r="V405" s="49"/>
      <c r="W405" s="49"/>
    </row>
    <row r="406" ht="15.75" customHeight="1">
      <c r="C406" s="49"/>
      <c r="I406" s="49"/>
      <c r="J406" s="49"/>
      <c r="O406" s="49"/>
      <c r="V406" s="49"/>
      <c r="W406" s="49"/>
    </row>
    <row r="407" ht="15.75" customHeight="1">
      <c r="C407" s="49"/>
      <c r="I407" s="49"/>
      <c r="J407" s="49"/>
      <c r="O407" s="49"/>
      <c r="V407" s="49"/>
      <c r="W407" s="49"/>
    </row>
    <row r="408" ht="15.75" customHeight="1">
      <c r="C408" s="49"/>
      <c r="I408" s="49"/>
      <c r="J408" s="49"/>
      <c r="O408" s="49"/>
      <c r="V408" s="49"/>
      <c r="W408" s="49"/>
    </row>
    <row r="409" ht="15.75" customHeight="1">
      <c r="C409" s="49"/>
      <c r="I409" s="49"/>
      <c r="J409" s="49"/>
      <c r="O409" s="49"/>
      <c r="V409" s="49"/>
      <c r="W409" s="49"/>
    </row>
    <row r="410" ht="15.75" customHeight="1">
      <c r="C410" s="49"/>
      <c r="I410" s="49"/>
      <c r="J410" s="49"/>
      <c r="O410" s="49"/>
      <c r="V410" s="49"/>
      <c r="W410" s="49"/>
    </row>
    <row r="411" ht="15.75" customHeight="1">
      <c r="C411" s="49"/>
      <c r="I411" s="49"/>
      <c r="J411" s="49"/>
      <c r="O411" s="49"/>
      <c r="V411" s="49"/>
      <c r="W411" s="49"/>
    </row>
    <row r="412" ht="15.75" customHeight="1">
      <c r="C412" s="49"/>
      <c r="I412" s="49"/>
      <c r="J412" s="49"/>
      <c r="O412" s="49"/>
      <c r="V412" s="49"/>
      <c r="W412" s="49"/>
    </row>
    <row r="413" ht="15.75" customHeight="1">
      <c r="C413" s="49"/>
      <c r="I413" s="49"/>
      <c r="J413" s="49"/>
      <c r="O413" s="49"/>
      <c r="V413" s="49"/>
      <c r="W413" s="49"/>
    </row>
    <row r="414" ht="15.75" customHeight="1">
      <c r="C414" s="49"/>
      <c r="I414" s="49"/>
      <c r="J414" s="49"/>
      <c r="O414" s="49"/>
      <c r="V414" s="49"/>
      <c r="W414" s="49"/>
    </row>
    <row r="415" ht="15.75" customHeight="1">
      <c r="C415" s="49"/>
      <c r="I415" s="49"/>
      <c r="J415" s="49"/>
      <c r="O415" s="49"/>
      <c r="V415" s="49"/>
      <c r="W415" s="49"/>
    </row>
    <row r="416" ht="15.75" customHeight="1">
      <c r="C416" s="49"/>
      <c r="I416" s="49"/>
      <c r="J416" s="49"/>
      <c r="O416" s="49"/>
      <c r="V416" s="49"/>
      <c r="W416" s="49"/>
    </row>
    <row r="417" ht="15.75" customHeight="1">
      <c r="C417" s="49"/>
      <c r="I417" s="49"/>
      <c r="J417" s="49"/>
      <c r="O417" s="49"/>
      <c r="V417" s="49"/>
      <c r="W417" s="49"/>
    </row>
    <row r="418" ht="15.75" customHeight="1">
      <c r="C418" s="49"/>
      <c r="I418" s="49"/>
      <c r="J418" s="49"/>
      <c r="O418" s="49"/>
      <c r="V418" s="49"/>
      <c r="W418" s="49"/>
    </row>
    <row r="419" ht="15.75" customHeight="1">
      <c r="C419" s="49"/>
      <c r="I419" s="49"/>
      <c r="J419" s="49"/>
      <c r="O419" s="49"/>
      <c r="V419" s="49"/>
      <c r="W419" s="49"/>
    </row>
    <row r="420" ht="15.75" customHeight="1">
      <c r="C420" s="49"/>
      <c r="I420" s="49"/>
      <c r="J420" s="49"/>
      <c r="O420" s="49"/>
      <c r="V420" s="49"/>
      <c r="W420" s="49"/>
    </row>
    <row r="421" ht="15.75" customHeight="1">
      <c r="C421" s="49"/>
      <c r="I421" s="49"/>
      <c r="J421" s="49"/>
      <c r="O421" s="49"/>
      <c r="V421" s="49"/>
      <c r="W421" s="49"/>
    </row>
    <row r="422" ht="15.75" customHeight="1">
      <c r="C422" s="49"/>
      <c r="I422" s="49"/>
      <c r="J422" s="49"/>
      <c r="O422" s="49"/>
      <c r="V422" s="49"/>
      <c r="W422" s="49"/>
    </row>
    <row r="423" ht="15.75" customHeight="1">
      <c r="C423" s="49"/>
      <c r="I423" s="49"/>
      <c r="J423" s="49"/>
      <c r="O423" s="49"/>
      <c r="V423" s="49"/>
      <c r="W423" s="49"/>
    </row>
    <row r="424" ht="15.75" customHeight="1">
      <c r="C424" s="49"/>
      <c r="I424" s="49"/>
      <c r="J424" s="49"/>
      <c r="O424" s="49"/>
      <c r="V424" s="49"/>
      <c r="W424" s="49"/>
    </row>
    <row r="425" ht="15.75" customHeight="1">
      <c r="C425" s="49"/>
      <c r="I425" s="49"/>
      <c r="J425" s="49"/>
      <c r="O425" s="49"/>
      <c r="V425" s="49"/>
      <c r="W425" s="49"/>
    </row>
    <row r="426" ht="15.75" customHeight="1">
      <c r="C426" s="49"/>
      <c r="I426" s="49"/>
      <c r="J426" s="49"/>
      <c r="O426" s="49"/>
      <c r="V426" s="49"/>
      <c r="W426" s="49"/>
    </row>
    <row r="427" ht="15.75" customHeight="1">
      <c r="C427" s="49"/>
      <c r="I427" s="49"/>
      <c r="J427" s="49"/>
      <c r="O427" s="49"/>
      <c r="V427" s="49"/>
      <c r="W427" s="49"/>
    </row>
    <row r="428" ht="15.75" customHeight="1">
      <c r="C428" s="49"/>
      <c r="I428" s="49"/>
      <c r="J428" s="49"/>
      <c r="O428" s="49"/>
      <c r="V428" s="49"/>
      <c r="W428" s="49"/>
    </row>
    <row r="429" ht="15.75" customHeight="1">
      <c r="C429" s="49"/>
      <c r="I429" s="49"/>
      <c r="J429" s="49"/>
      <c r="O429" s="49"/>
      <c r="V429" s="49"/>
      <c r="W429" s="49"/>
    </row>
    <row r="430" ht="15.75" customHeight="1">
      <c r="C430" s="49"/>
      <c r="I430" s="49"/>
      <c r="J430" s="49"/>
      <c r="O430" s="49"/>
      <c r="V430" s="49"/>
      <c r="W430" s="49"/>
    </row>
    <row r="431" ht="15.75" customHeight="1">
      <c r="C431" s="49"/>
      <c r="I431" s="49"/>
      <c r="J431" s="49"/>
      <c r="O431" s="49"/>
      <c r="V431" s="49"/>
      <c r="W431" s="49"/>
    </row>
    <row r="432" ht="15.75" customHeight="1">
      <c r="C432" s="49"/>
      <c r="I432" s="49"/>
      <c r="J432" s="49"/>
      <c r="O432" s="49"/>
      <c r="V432" s="49"/>
      <c r="W432" s="49"/>
    </row>
    <row r="433" ht="15.75" customHeight="1">
      <c r="C433" s="49"/>
      <c r="I433" s="49"/>
      <c r="J433" s="49"/>
      <c r="O433" s="49"/>
      <c r="V433" s="49"/>
      <c r="W433" s="49"/>
    </row>
    <row r="434" ht="15.75" customHeight="1">
      <c r="C434" s="49"/>
      <c r="I434" s="49"/>
      <c r="J434" s="49"/>
      <c r="O434" s="49"/>
      <c r="V434" s="49"/>
      <c r="W434" s="49"/>
    </row>
    <row r="435" ht="15.75" customHeight="1">
      <c r="C435" s="49"/>
      <c r="I435" s="49"/>
      <c r="J435" s="49"/>
      <c r="O435" s="49"/>
      <c r="V435" s="49"/>
      <c r="W435" s="49"/>
    </row>
    <row r="436" ht="15.75" customHeight="1">
      <c r="C436" s="49"/>
      <c r="I436" s="49"/>
      <c r="J436" s="49"/>
      <c r="O436" s="49"/>
      <c r="V436" s="49"/>
      <c r="W436" s="49"/>
    </row>
    <row r="437" ht="15.75" customHeight="1">
      <c r="C437" s="49"/>
      <c r="I437" s="49"/>
      <c r="J437" s="49"/>
      <c r="O437" s="49"/>
      <c r="V437" s="49"/>
      <c r="W437" s="49"/>
    </row>
    <row r="438" ht="15.75" customHeight="1">
      <c r="C438" s="49"/>
      <c r="I438" s="49"/>
      <c r="J438" s="49"/>
      <c r="O438" s="49"/>
      <c r="V438" s="49"/>
      <c r="W438" s="49"/>
    </row>
    <row r="439" ht="15.75" customHeight="1">
      <c r="C439" s="49"/>
      <c r="I439" s="49"/>
      <c r="J439" s="49"/>
      <c r="O439" s="49"/>
      <c r="V439" s="49"/>
      <c r="W439" s="49"/>
    </row>
    <row r="440" ht="15.75" customHeight="1">
      <c r="C440" s="49"/>
      <c r="I440" s="49"/>
      <c r="J440" s="49"/>
      <c r="O440" s="49"/>
      <c r="V440" s="49"/>
      <c r="W440" s="49"/>
    </row>
    <row r="441" ht="15.75" customHeight="1">
      <c r="C441" s="49"/>
      <c r="I441" s="49"/>
      <c r="J441" s="49"/>
      <c r="O441" s="49"/>
      <c r="V441" s="49"/>
      <c r="W441" s="49"/>
    </row>
    <row r="442" ht="15.75" customHeight="1">
      <c r="C442" s="49"/>
      <c r="I442" s="49"/>
      <c r="J442" s="49"/>
      <c r="O442" s="49"/>
      <c r="V442" s="49"/>
      <c r="W442" s="49"/>
    </row>
    <row r="443" ht="15.75" customHeight="1">
      <c r="C443" s="49"/>
      <c r="I443" s="49"/>
      <c r="J443" s="49"/>
      <c r="O443" s="49"/>
      <c r="V443" s="49"/>
      <c r="W443" s="49"/>
    </row>
    <row r="444" ht="15.75" customHeight="1">
      <c r="C444" s="49"/>
      <c r="I444" s="49"/>
      <c r="J444" s="49"/>
      <c r="O444" s="49"/>
      <c r="V444" s="49"/>
      <c r="W444" s="49"/>
    </row>
    <row r="445" ht="15.75" customHeight="1">
      <c r="C445" s="49"/>
      <c r="I445" s="49"/>
      <c r="J445" s="49"/>
      <c r="O445" s="49"/>
      <c r="V445" s="49"/>
      <c r="W445" s="49"/>
    </row>
    <row r="446" ht="15.75" customHeight="1">
      <c r="C446" s="49"/>
      <c r="I446" s="49"/>
      <c r="J446" s="49"/>
      <c r="O446" s="49"/>
      <c r="V446" s="49"/>
      <c r="W446" s="49"/>
    </row>
    <row r="447" ht="15.75" customHeight="1">
      <c r="C447" s="49"/>
      <c r="I447" s="49"/>
      <c r="J447" s="49"/>
      <c r="O447" s="49"/>
      <c r="V447" s="49"/>
      <c r="W447" s="49"/>
    </row>
    <row r="448" ht="15.75" customHeight="1">
      <c r="C448" s="49"/>
      <c r="I448" s="49"/>
      <c r="J448" s="49"/>
      <c r="O448" s="49"/>
      <c r="V448" s="49"/>
      <c r="W448" s="49"/>
    </row>
    <row r="449" ht="15.75" customHeight="1">
      <c r="C449" s="49"/>
      <c r="I449" s="49"/>
      <c r="J449" s="49"/>
      <c r="O449" s="49"/>
      <c r="V449" s="49"/>
      <c r="W449" s="49"/>
    </row>
    <row r="450" ht="15.75" customHeight="1">
      <c r="C450" s="49"/>
      <c r="I450" s="49"/>
      <c r="J450" s="49"/>
      <c r="O450" s="49"/>
      <c r="V450" s="49"/>
      <c r="W450" s="49"/>
    </row>
    <row r="451" ht="15.75" customHeight="1">
      <c r="C451" s="49"/>
      <c r="I451" s="49"/>
      <c r="J451" s="49"/>
      <c r="O451" s="49"/>
      <c r="V451" s="49"/>
      <c r="W451" s="49"/>
    </row>
    <row r="452" ht="15.75" customHeight="1">
      <c r="C452" s="49"/>
      <c r="I452" s="49"/>
      <c r="J452" s="49"/>
      <c r="O452" s="49"/>
      <c r="V452" s="49"/>
      <c r="W452" s="49"/>
    </row>
    <row r="453" ht="15.75" customHeight="1">
      <c r="C453" s="49"/>
      <c r="I453" s="49"/>
      <c r="J453" s="49"/>
      <c r="O453" s="49"/>
      <c r="V453" s="49"/>
      <c r="W453" s="49"/>
    </row>
    <row r="454" ht="15.75" customHeight="1">
      <c r="C454" s="49"/>
      <c r="I454" s="49"/>
      <c r="J454" s="49"/>
      <c r="O454" s="49"/>
      <c r="V454" s="49"/>
      <c r="W454" s="49"/>
    </row>
    <row r="455" ht="15.75" customHeight="1">
      <c r="C455" s="49"/>
      <c r="I455" s="49"/>
      <c r="J455" s="49"/>
      <c r="O455" s="49"/>
      <c r="V455" s="49"/>
      <c r="W455" s="49"/>
    </row>
    <row r="456" ht="15.75" customHeight="1">
      <c r="C456" s="49"/>
      <c r="I456" s="49"/>
      <c r="J456" s="49"/>
      <c r="O456" s="49"/>
      <c r="V456" s="49"/>
      <c r="W456" s="49"/>
    </row>
    <row r="457" ht="15.75" customHeight="1">
      <c r="C457" s="49"/>
      <c r="I457" s="49"/>
      <c r="J457" s="49"/>
      <c r="O457" s="49"/>
      <c r="V457" s="49"/>
      <c r="W457" s="49"/>
    </row>
    <row r="458" ht="15.75" customHeight="1">
      <c r="C458" s="49"/>
      <c r="I458" s="49"/>
      <c r="J458" s="49"/>
      <c r="O458" s="49"/>
      <c r="V458" s="49"/>
      <c r="W458" s="49"/>
    </row>
    <row r="459" ht="15.75" customHeight="1">
      <c r="C459" s="49"/>
      <c r="I459" s="49"/>
      <c r="J459" s="49"/>
      <c r="O459" s="49"/>
      <c r="V459" s="49"/>
      <c r="W459" s="49"/>
    </row>
    <row r="460" ht="15.75" customHeight="1">
      <c r="C460" s="49"/>
      <c r="I460" s="49"/>
      <c r="J460" s="49"/>
      <c r="O460" s="49"/>
      <c r="V460" s="49"/>
      <c r="W460" s="49"/>
    </row>
    <row r="461" ht="15.75" customHeight="1">
      <c r="C461" s="49"/>
      <c r="I461" s="49"/>
      <c r="J461" s="49"/>
      <c r="O461" s="49"/>
      <c r="V461" s="49"/>
      <c r="W461" s="49"/>
    </row>
    <row r="462" ht="15.75" customHeight="1">
      <c r="C462" s="49"/>
      <c r="I462" s="49"/>
      <c r="J462" s="49"/>
      <c r="O462" s="49"/>
      <c r="V462" s="49"/>
      <c r="W462" s="49"/>
    </row>
    <row r="463" ht="15.75" customHeight="1">
      <c r="C463" s="49"/>
      <c r="I463" s="49"/>
      <c r="J463" s="49"/>
      <c r="O463" s="49"/>
      <c r="V463" s="49"/>
      <c r="W463" s="49"/>
    </row>
    <row r="464" ht="15.75" customHeight="1">
      <c r="C464" s="49"/>
      <c r="I464" s="49"/>
      <c r="J464" s="49"/>
      <c r="O464" s="49"/>
      <c r="V464" s="49"/>
      <c r="W464" s="49"/>
    </row>
    <row r="465" ht="15.75" customHeight="1">
      <c r="C465" s="49"/>
      <c r="I465" s="49"/>
      <c r="J465" s="49"/>
      <c r="O465" s="49"/>
      <c r="V465" s="49"/>
      <c r="W465" s="49"/>
    </row>
    <row r="466" ht="15.75" customHeight="1">
      <c r="C466" s="49"/>
      <c r="I466" s="49"/>
      <c r="J466" s="49"/>
      <c r="O466" s="49"/>
      <c r="V466" s="49"/>
      <c r="W466" s="49"/>
    </row>
    <row r="467" ht="15.75" customHeight="1">
      <c r="C467" s="49"/>
      <c r="I467" s="49"/>
      <c r="J467" s="49"/>
      <c r="O467" s="49"/>
      <c r="V467" s="49"/>
      <c r="W467" s="49"/>
    </row>
    <row r="468" ht="15.75" customHeight="1">
      <c r="C468" s="49"/>
      <c r="I468" s="49"/>
      <c r="J468" s="49"/>
      <c r="O468" s="49"/>
      <c r="V468" s="49"/>
      <c r="W468" s="49"/>
    </row>
    <row r="469" ht="15.75" customHeight="1">
      <c r="C469" s="49"/>
      <c r="I469" s="49"/>
      <c r="J469" s="49"/>
      <c r="O469" s="49"/>
      <c r="V469" s="49"/>
      <c r="W469" s="49"/>
    </row>
    <row r="470" ht="15.75" customHeight="1">
      <c r="C470" s="49"/>
      <c r="I470" s="49"/>
      <c r="J470" s="49"/>
      <c r="O470" s="49"/>
      <c r="V470" s="49"/>
      <c r="W470" s="49"/>
    </row>
    <row r="471" ht="15.75" customHeight="1">
      <c r="C471" s="49"/>
      <c r="I471" s="49"/>
      <c r="J471" s="49"/>
      <c r="O471" s="49"/>
      <c r="V471" s="49"/>
      <c r="W471" s="49"/>
    </row>
    <row r="472" ht="15.75" customHeight="1">
      <c r="C472" s="49"/>
      <c r="I472" s="49"/>
      <c r="J472" s="49"/>
      <c r="O472" s="49"/>
      <c r="V472" s="49"/>
      <c r="W472" s="49"/>
    </row>
    <row r="473" ht="15.75" customHeight="1">
      <c r="C473" s="49"/>
      <c r="I473" s="49"/>
      <c r="J473" s="49"/>
      <c r="O473" s="49"/>
      <c r="V473" s="49"/>
      <c r="W473" s="49"/>
    </row>
    <row r="474" ht="15.75" customHeight="1">
      <c r="C474" s="49"/>
      <c r="I474" s="49"/>
      <c r="J474" s="49"/>
      <c r="O474" s="49"/>
      <c r="V474" s="49"/>
      <c r="W474" s="49"/>
    </row>
    <row r="475" ht="15.75" customHeight="1">
      <c r="C475" s="49"/>
      <c r="I475" s="49"/>
      <c r="J475" s="49"/>
      <c r="O475" s="49"/>
      <c r="V475" s="49"/>
      <c r="W475" s="49"/>
    </row>
    <row r="476" ht="15.75" customHeight="1">
      <c r="C476" s="49"/>
      <c r="I476" s="49"/>
      <c r="J476" s="49"/>
      <c r="O476" s="49"/>
      <c r="V476" s="49"/>
      <c r="W476" s="49"/>
    </row>
    <row r="477" ht="15.75" customHeight="1">
      <c r="C477" s="49"/>
      <c r="I477" s="49"/>
      <c r="J477" s="49"/>
      <c r="O477" s="49"/>
      <c r="V477" s="49"/>
      <c r="W477" s="49"/>
    </row>
    <row r="478" ht="15.75" customHeight="1">
      <c r="C478" s="49"/>
      <c r="I478" s="49"/>
      <c r="J478" s="49"/>
      <c r="O478" s="49"/>
      <c r="V478" s="49"/>
      <c r="W478" s="49"/>
    </row>
    <row r="479" ht="15.75" customHeight="1">
      <c r="C479" s="49"/>
      <c r="I479" s="49"/>
      <c r="J479" s="49"/>
      <c r="O479" s="49"/>
      <c r="V479" s="49"/>
      <c r="W479" s="49"/>
    </row>
    <row r="480" ht="15.75" customHeight="1">
      <c r="C480" s="49"/>
      <c r="I480" s="49"/>
      <c r="J480" s="49"/>
      <c r="O480" s="49"/>
      <c r="V480" s="49"/>
      <c r="W480" s="49"/>
    </row>
    <row r="481" ht="15.75" customHeight="1">
      <c r="C481" s="49"/>
      <c r="I481" s="49"/>
      <c r="J481" s="49"/>
      <c r="O481" s="49"/>
      <c r="V481" s="49"/>
      <c r="W481" s="49"/>
    </row>
    <row r="482" ht="15.75" customHeight="1">
      <c r="C482" s="49"/>
      <c r="I482" s="49"/>
      <c r="J482" s="49"/>
      <c r="O482" s="49"/>
      <c r="V482" s="49"/>
      <c r="W482" s="49"/>
    </row>
    <row r="483" ht="15.75" customHeight="1">
      <c r="C483" s="49"/>
      <c r="I483" s="49"/>
      <c r="J483" s="49"/>
      <c r="O483" s="49"/>
      <c r="V483" s="49"/>
      <c r="W483" s="49"/>
    </row>
    <row r="484" ht="15.75" customHeight="1">
      <c r="C484" s="49"/>
      <c r="I484" s="49"/>
      <c r="J484" s="49"/>
      <c r="O484" s="49"/>
      <c r="V484" s="49"/>
      <c r="W484" s="49"/>
    </row>
    <row r="485" ht="15.75" customHeight="1">
      <c r="C485" s="49"/>
      <c r="I485" s="49"/>
      <c r="J485" s="49"/>
      <c r="O485" s="49"/>
      <c r="V485" s="49"/>
      <c r="W485" s="49"/>
    </row>
    <row r="486" ht="15.75" customHeight="1">
      <c r="C486" s="49"/>
      <c r="I486" s="49"/>
      <c r="J486" s="49"/>
      <c r="O486" s="49"/>
      <c r="V486" s="49"/>
      <c r="W486" s="49"/>
    </row>
    <row r="487" ht="15.75" customHeight="1">
      <c r="C487" s="49"/>
      <c r="I487" s="49"/>
      <c r="J487" s="49"/>
      <c r="O487" s="49"/>
      <c r="V487" s="49"/>
      <c r="W487" s="49"/>
    </row>
    <row r="488" ht="15.75" customHeight="1">
      <c r="C488" s="49"/>
      <c r="I488" s="49"/>
      <c r="J488" s="49"/>
      <c r="O488" s="49"/>
      <c r="V488" s="49"/>
      <c r="W488" s="49"/>
    </row>
    <row r="489" ht="15.75" customHeight="1">
      <c r="C489" s="49"/>
      <c r="I489" s="49"/>
      <c r="J489" s="49"/>
      <c r="O489" s="49"/>
      <c r="V489" s="49"/>
      <c r="W489" s="49"/>
    </row>
    <row r="490" ht="15.75" customHeight="1">
      <c r="C490" s="49"/>
      <c r="I490" s="49"/>
      <c r="J490" s="49"/>
      <c r="O490" s="49"/>
      <c r="V490" s="49"/>
      <c r="W490" s="49"/>
    </row>
    <row r="491" ht="15.75" customHeight="1">
      <c r="C491" s="49"/>
      <c r="I491" s="49"/>
      <c r="J491" s="49"/>
      <c r="O491" s="49"/>
      <c r="V491" s="49"/>
      <c r="W491" s="49"/>
    </row>
    <row r="492" ht="15.75" customHeight="1">
      <c r="C492" s="49"/>
      <c r="I492" s="49"/>
      <c r="J492" s="49"/>
      <c r="O492" s="49"/>
      <c r="V492" s="49"/>
      <c r="W492" s="49"/>
    </row>
    <row r="493" ht="15.75" customHeight="1">
      <c r="C493" s="49"/>
      <c r="I493" s="49"/>
      <c r="J493" s="49"/>
      <c r="O493" s="49"/>
      <c r="V493" s="49"/>
      <c r="W493" s="49"/>
    </row>
    <row r="494" ht="15.75" customHeight="1">
      <c r="C494" s="49"/>
      <c r="I494" s="49"/>
      <c r="J494" s="49"/>
      <c r="O494" s="49"/>
      <c r="V494" s="49"/>
      <c r="W494" s="49"/>
    </row>
    <row r="495" ht="15.75" customHeight="1">
      <c r="C495" s="49"/>
      <c r="I495" s="49"/>
      <c r="J495" s="49"/>
      <c r="O495" s="49"/>
      <c r="V495" s="49"/>
      <c r="W495" s="49"/>
    </row>
    <row r="496" ht="15.75" customHeight="1">
      <c r="C496" s="49"/>
      <c r="I496" s="49"/>
      <c r="J496" s="49"/>
      <c r="O496" s="49"/>
      <c r="V496" s="49"/>
      <c r="W496" s="49"/>
    </row>
    <row r="497" ht="15.75" customHeight="1">
      <c r="C497" s="49"/>
      <c r="I497" s="49"/>
      <c r="J497" s="49"/>
      <c r="O497" s="49"/>
      <c r="V497" s="49"/>
      <c r="W497" s="49"/>
    </row>
    <row r="498" ht="15.75" customHeight="1">
      <c r="C498" s="49"/>
      <c r="I498" s="49"/>
      <c r="J498" s="49"/>
      <c r="O498" s="49"/>
      <c r="V498" s="49"/>
      <c r="W498" s="49"/>
    </row>
    <row r="499" ht="15.75" customHeight="1">
      <c r="C499" s="49"/>
      <c r="I499" s="49"/>
      <c r="J499" s="49"/>
      <c r="O499" s="49"/>
      <c r="V499" s="49"/>
      <c r="W499" s="49"/>
    </row>
    <row r="500" ht="15.75" customHeight="1">
      <c r="C500" s="49"/>
      <c r="I500" s="49"/>
      <c r="J500" s="49"/>
      <c r="O500" s="49"/>
      <c r="V500" s="49"/>
      <c r="W500" s="49"/>
    </row>
    <row r="501" ht="15.75" customHeight="1">
      <c r="C501" s="49"/>
      <c r="I501" s="49"/>
      <c r="J501" s="49"/>
      <c r="O501" s="49"/>
      <c r="V501" s="49"/>
      <c r="W501" s="49"/>
    </row>
    <row r="502" ht="15.75" customHeight="1">
      <c r="C502" s="49"/>
      <c r="I502" s="49"/>
      <c r="J502" s="49"/>
      <c r="O502" s="49"/>
      <c r="V502" s="49"/>
      <c r="W502" s="49"/>
    </row>
    <row r="503" ht="15.75" customHeight="1">
      <c r="C503" s="49"/>
      <c r="I503" s="49"/>
      <c r="J503" s="49"/>
      <c r="O503" s="49"/>
      <c r="V503" s="49"/>
      <c r="W503" s="49"/>
    </row>
    <row r="504" ht="15.75" customHeight="1">
      <c r="C504" s="49"/>
      <c r="I504" s="49"/>
      <c r="J504" s="49"/>
      <c r="O504" s="49"/>
      <c r="V504" s="49"/>
      <c r="W504" s="49"/>
    </row>
    <row r="505" ht="15.75" customHeight="1">
      <c r="C505" s="49"/>
      <c r="I505" s="49"/>
      <c r="J505" s="49"/>
      <c r="O505" s="49"/>
      <c r="V505" s="49"/>
      <c r="W505" s="49"/>
    </row>
    <row r="506" ht="15.75" customHeight="1">
      <c r="C506" s="49"/>
      <c r="I506" s="49"/>
      <c r="J506" s="49"/>
      <c r="O506" s="49"/>
      <c r="V506" s="49"/>
      <c r="W506" s="49"/>
    </row>
    <row r="507" ht="15.75" customHeight="1">
      <c r="C507" s="49"/>
      <c r="I507" s="49"/>
      <c r="J507" s="49"/>
      <c r="O507" s="49"/>
      <c r="V507" s="49"/>
      <c r="W507" s="49"/>
    </row>
    <row r="508" ht="15.75" customHeight="1">
      <c r="C508" s="49"/>
      <c r="I508" s="49"/>
      <c r="J508" s="49"/>
      <c r="O508" s="49"/>
      <c r="V508" s="49"/>
      <c r="W508" s="49"/>
    </row>
    <row r="509" ht="15.75" customHeight="1">
      <c r="C509" s="49"/>
      <c r="I509" s="49"/>
      <c r="J509" s="49"/>
      <c r="O509" s="49"/>
      <c r="V509" s="49"/>
      <c r="W509" s="49"/>
    </row>
    <row r="510" ht="15.75" customHeight="1">
      <c r="C510" s="49"/>
      <c r="I510" s="49"/>
      <c r="J510" s="49"/>
      <c r="O510" s="49"/>
      <c r="V510" s="49"/>
      <c r="W510" s="49"/>
    </row>
    <row r="511" ht="15.75" customHeight="1">
      <c r="C511" s="49"/>
      <c r="I511" s="49"/>
      <c r="J511" s="49"/>
      <c r="O511" s="49"/>
      <c r="V511" s="49"/>
      <c r="W511" s="49"/>
    </row>
    <row r="512" ht="15.75" customHeight="1">
      <c r="C512" s="49"/>
      <c r="I512" s="49"/>
      <c r="J512" s="49"/>
      <c r="O512" s="49"/>
      <c r="V512" s="49"/>
      <c r="W512" s="49"/>
    </row>
    <row r="513" ht="15.75" customHeight="1">
      <c r="C513" s="49"/>
      <c r="I513" s="49"/>
      <c r="J513" s="49"/>
      <c r="O513" s="49"/>
      <c r="V513" s="49"/>
      <c r="W513" s="49"/>
    </row>
    <row r="514" ht="15.75" customHeight="1">
      <c r="C514" s="49"/>
      <c r="I514" s="49"/>
      <c r="J514" s="49"/>
      <c r="O514" s="49"/>
      <c r="V514" s="49"/>
      <c r="W514" s="49"/>
    </row>
    <row r="515" ht="15.75" customHeight="1">
      <c r="C515" s="49"/>
      <c r="I515" s="49"/>
      <c r="J515" s="49"/>
      <c r="O515" s="49"/>
      <c r="V515" s="49"/>
      <c r="W515" s="49"/>
    </row>
    <row r="516" ht="15.75" customHeight="1">
      <c r="C516" s="49"/>
      <c r="I516" s="49"/>
      <c r="J516" s="49"/>
      <c r="O516" s="49"/>
      <c r="V516" s="49"/>
      <c r="W516" s="49"/>
    </row>
    <row r="517" ht="15.75" customHeight="1">
      <c r="C517" s="49"/>
      <c r="I517" s="49"/>
      <c r="J517" s="49"/>
      <c r="O517" s="49"/>
      <c r="V517" s="49"/>
      <c r="W517" s="49"/>
    </row>
    <row r="518" ht="15.75" customHeight="1">
      <c r="C518" s="49"/>
      <c r="I518" s="49"/>
      <c r="J518" s="49"/>
      <c r="O518" s="49"/>
      <c r="V518" s="49"/>
      <c r="W518" s="49"/>
    </row>
    <row r="519" ht="15.75" customHeight="1">
      <c r="C519" s="49"/>
      <c r="I519" s="49"/>
      <c r="J519" s="49"/>
      <c r="O519" s="49"/>
      <c r="V519" s="49"/>
      <c r="W519" s="49"/>
    </row>
    <row r="520" ht="15.75" customHeight="1">
      <c r="C520" s="49"/>
      <c r="I520" s="49"/>
      <c r="J520" s="49"/>
      <c r="O520" s="49"/>
      <c r="V520" s="49"/>
      <c r="W520" s="49"/>
    </row>
    <row r="521" ht="15.75" customHeight="1">
      <c r="C521" s="49"/>
      <c r="I521" s="49"/>
      <c r="J521" s="49"/>
      <c r="O521" s="49"/>
      <c r="V521" s="49"/>
      <c r="W521" s="49"/>
    </row>
    <row r="522" ht="15.75" customHeight="1">
      <c r="C522" s="49"/>
      <c r="I522" s="49"/>
      <c r="J522" s="49"/>
      <c r="O522" s="49"/>
      <c r="V522" s="49"/>
      <c r="W522" s="49"/>
    </row>
    <row r="523" ht="15.75" customHeight="1">
      <c r="C523" s="49"/>
      <c r="I523" s="49"/>
      <c r="J523" s="49"/>
      <c r="O523" s="49"/>
      <c r="V523" s="49"/>
      <c r="W523" s="49"/>
    </row>
    <row r="524" ht="15.75" customHeight="1">
      <c r="C524" s="49"/>
      <c r="I524" s="49"/>
      <c r="J524" s="49"/>
      <c r="O524" s="49"/>
      <c r="V524" s="49"/>
      <c r="W524" s="49"/>
    </row>
    <row r="525" ht="15.75" customHeight="1">
      <c r="C525" s="49"/>
      <c r="I525" s="49"/>
      <c r="J525" s="49"/>
      <c r="O525" s="49"/>
      <c r="V525" s="49"/>
      <c r="W525" s="49"/>
    </row>
    <row r="526" ht="15.75" customHeight="1">
      <c r="C526" s="49"/>
      <c r="I526" s="49"/>
      <c r="J526" s="49"/>
      <c r="O526" s="49"/>
      <c r="V526" s="49"/>
      <c r="W526" s="49"/>
    </row>
    <row r="527" ht="15.75" customHeight="1">
      <c r="C527" s="49"/>
      <c r="I527" s="49"/>
      <c r="J527" s="49"/>
      <c r="O527" s="49"/>
      <c r="V527" s="49"/>
      <c r="W527" s="49"/>
    </row>
    <row r="528" ht="15.75" customHeight="1">
      <c r="C528" s="49"/>
      <c r="I528" s="49"/>
      <c r="J528" s="49"/>
      <c r="O528" s="49"/>
      <c r="V528" s="49"/>
      <c r="W528" s="49"/>
    </row>
    <row r="529" ht="15.75" customHeight="1">
      <c r="C529" s="49"/>
      <c r="I529" s="49"/>
      <c r="J529" s="49"/>
      <c r="O529" s="49"/>
      <c r="V529" s="49"/>
      <c r="W529" s="49"/>
    </row>
    <row r="530" ht="15.75" customHeight="1">
      <c r="C530" s="49"/>
      <c r="I530" s="49"/>
      <c r="J530" s="49"/>
      <c r="O530" s="49"/>
      <c r="V530" s="49"/>
      <c r="W530" s="49"/>
    </row>
    <row r="531" ht="15.75" customHeight="1">
      <c r="C531" s="49"/>
      <c r="I531" s="49"/>
      <c r="J531" s="49"/>
      <c r="O531" s="49"/>
      <c r="V531" s="49"/>
      <c r="W531" s="49"/>
    </row>
    <row r="532" ht="15.75" customHeight="1">
      <c r="C532" s="49"/>
      <c r="I532" s="49"/>
      <c r="J532" s="49"/>
      <c r="O532" s="49"/>
      <c r="V532" s="49"/>
      <c r="W532" s="49"/>
    </row>
    <row r="533" ht="15.75" customHeight="1">
      <c r="C533" s="49"/>
      <c r="I533" s="49"/>
      <c r="J533" s="49"/>
      <c r="O533" s="49"/>
      <c r="V533" s="49"/>
      <c r="W533" s="49"/>
    </row>
    <row r="534" ht="15.75" customHeight="1">
      <c r="C534" s="49"/>
      <c r="I534" s="49"/>
      <c r="J534" s="49"/>
      <c r="O534" s="49"/>
      <c r="V534" s="49"/>
      <c r="W534" s="49"/>
    </row>
    <row r="535" ht="15.75" customHeight="1">
      <c r="C535" s="49"/>
      <c r="I535" s="49"/>
      <c r="J535" s="49"/>
      <c r="O535" s="49"/>
      <c r="V535" s="49"/>
      <c r="W535" s="49"/>
    </row>
    <row r="536" ht="15.75" customHeight="1">
      <c r="C536" s="49"/>
      <c r="I536" s="49"/>
      <c r="J536" s="49"/>
      <c r="O536" s="49"/>
      <c r="V536" s="49"/>
      <c r="W536" s="49"/>
    </row>
    <row r="537" ht="15.75" customHeight="1">
      <c r="C537" s="49"/>
      <c r="I537" s="49"/>
      <c r="J537" s="49"/>
      <c r="O537" s="49"/>
      <c r="V537" s="49"/>
      <c r="W537" s="49"/>
    </row>
    <row r="538" ht="15.75" customHeight="1">
      <c r="C538" s="49"/>
      <c r="I538" s="49"/>
      <c r="J538" s="49"/>
      <c r="O538" s="49"/>
      <c r="V538" s="49"/>
      <c r="W538" s="49"/>
    </row>
    <row r="539" ht="15.75" customHeight="1">
      <c r="C539" s="49"/>
      <c r="I539" s="49"/>
      <c r="J539" s="49"/>
      <c r="O539" s="49"/>
      <c r="V539" s="49"/>
      <c r="W539" s="49"/>
    </row>
    <row r="540" ht="15.75" customHeight="1">
      <c r="C540" s="49"/>
      <c r="I540" s="49"/>
      <c r="J540" s="49"/>
      <c r="O540" s="49"/>
      <c r="V540" s="49"/>
      <c r="W540" s="49"/>
    </row>
    <row r="541" ht="15.75" customHeight="1">
      <c r="C541" s="49"/>
      <c r="I541" s="49"/>
      <c r="J541" s="49"/>
      <c r="O541" s="49"/>
      <c r="V541" s="49"/>
      <c r="W541" s="49"/>
    </row>
    <row r="542" ht="15.75" customHeight="1">
      <c r="C542" s="49"/>
      <c r="I542" s="49"/>
      <c r="J542" s="49"/>
      <c r="O542" s="49"/>
      <c r="V542" s="49"/>
      <c r="W542" s="49"/>
    </row>
    <row r="543" ht="15.75" customHeight="1">
      <c r="C543" s="49"/>
      <c r="I543" s="49"/>
      <c r="J543" s="49"/>
      <c r="O543" s="49"/>
      <c r="V543" s="49"/>
      <c r="W543" s="49"/>
    </row>
    <row r="544" ht="15.75" customHeight="1">
      <c r="C544" s="49"/>
      <c r="I544" s="49"/>
      <c r="J544" s="49"/>
      <c r="O544" s="49"/>
      <c r="V544" s="49"/>
      <c r="W544" s="49"/>
    </row>
    <row r="545" ht="15.75" customHeight="1">
      <c r="C545" s="49"/>
      <c r="I545" s="49"/>
      <c r="J545" s="49"/>
      <c r="O545" s="49"/>
      <c r="V545" s="49"/>
      <c r="W545" s="49"/>
    </row>
    <row r="546" ht="15.75" customHeight="1">
      <c r="C546" s="49"/>
      <c r="I546" s="49"/>
      <c r="J546" s="49"/>
      <c r="O546" s="49"/>
      <c r="V546" s="49"/>
      <c r="W546" s="49"/>
    </row>
    <row r="547" ht="15.75" customHeight="1">
      <c r="C547" s="49"/>
      <c r="I547" s="49"/>
      <c r="J547" s="49"/>
      <c r="O547" s="49"/>
      <c r="V547" s="49"/>
      <c r="W547" s="49"/>
    </row>
    <row r="548" ht="15.75" customHeight="1">
      <c r="C548" s="49"/>
      <c r="I548" s="49"/>
      <c r="J548" s="49"/>
      <c r="O548" s="49"/>
      <c r="V548" s="49"/>
      <c r="W548" s="49"/>
    </row>
    <row r="549" ht="15.75" customHeight="1">
      <c r="C549" s="49"/>
      <c r="I549" s="49"/>
      <c r="J549" s="49"/>
      <c r="O549" s="49"/>
      <c r="V549" s="49"/>
      <c r="W549" s="49"/>
    </row>
    <row r="550" ht="15.75" customHeight="1">
      <c r="C550" s="49"/>
      <c r="I550" s="49"/>
      <c r="J550" s="49"/>
      <c r="O550" s="49"/>
      <c r="V550" s="49"/>
      <c r="W550" s="49"/>
    </row>
    <row r="551" ht="15.75" customHeight="1">
      <c r="C551" s="49"/>
      <c r="I551" s="49"/>
      <c r="J551" s="49"/>
      <c r="O551" s="49"/>
      <c r="V551" s="49"/>
      <c r="W551" s="49"/>
    </row>
    <row r="552" ht="15.75" customHeight="1">
      <c r="C552" s="49"/>
      <c r="I552" s="49"/>
      <c r="J552" s="49"/>
      <c r="O552" s="49"/>
      <c r="V552" s="49"/>
      <c r="W552" s="49"/>
    </row>
    <row r="553" ht="15.75" customHeight="1">
      <c r="C553" s="49"/>
      <c r="I553" s="49"/>
      <c r="J553" s="49"/>
      <c r="O553" s="49"/>
      <c r="V553" s="49"/>
      <c r="W553" s="49"/>
    </row>
    <row r="554" ht="15.75" customHeight="1">
      <c r="C554" s="49"/>
      <c r="I554" s="49"/>
      <c r="J554" s="49"/>
      <c r="O554" s="49"/>
      <c r="V554" s="49"/>
      <c r="W554" s="49"/>
    </row>
    <row r="555" ht="15.75" customHeight="1">
      <c r="C555" s="49"/>
      <c r="I555" s="49"/>
      <c r="J555" s="49"/>
      <c r="O555" s="49"/>
      <c r="V555" s="49"/>
      <c r="W555" s="49"/>
    </row>
    <row r="556" ht="15.75" customHeight="1">
      <c r="C556" s="49"/>
      <c r="I556" s="49"/>
      <c r="J556" s="49"/>
      <c r="O556" s="49"/>
      <c r="V556" s="49"/>
      <c r="W556" s="49"/>
    </row>
    <row r="557" ht="15.75" customHeight="1">
      <c r="C557" s="49"/>
      <c r="I557" s="49"/>
      <c r="J557" s="49"/>
      <c r="O557" s="49"/>
      <c r="V557" s="49"/>
      <c r="W557" s="49"/>
    </row>
    <row r="558" ht="15.75" customHeight="1">
      <c r="C558" s="49"/>
      <c r="I558" s="49"/>
      <c r="J558" s="49"/>
      <c r="O558" s="49"/>
      <c r="V558" s="49"/>
      <c r="W558" s="49"/>
    </row>
    <row r="559" ht="15.75" customHeight="1">
      <c r="C559" s="49"/>
      <c r="I559" s="49"/>
      <c r="J559" s="49"/>
      <c r="O559" s="49"/>
      <c r="V559" s="49"/>
      <c r="W559" s="49"/>
    </row>
    <row r="560" ht="15.75" customHeight="1">
      <c r="C560" s="49"/>
      <c r="I560" s="49"/>
      <c r="J560" s="49"/>
      <c r="O560" s="49"/>
      <c r="V560" s="49"/>
      <c r="W560" s="49"/>
    </row>
    <row r="561" ht="15.75" customHeight="1">
      <c r="C561" s="49"/>
      <c r="I561" s="49"/>
      <c r="J561" s="49"/>
      <c r="O561" s="49"/>
      <c r="V561" s="49"/>
      <c r="W561" s="49"/>
    </row>
    <row r="562" ht="15.75" customHeight="1">
      <c r="C562" s="49"/>
      <c r="I562" s="49"/>
      <c r="J562" s="49"/>
      <c r="O562" s="49"/>
      <c r="V562" s="49"/>
      <c r="W562" s="49"/>
    </row>
    <row r="563" ht="15.75" customHeight="1">
      <c r="C563" s="49"/>
      <c r="I563" s="49"/>
      <c r="J563" s="49"/>
      <c r="O563" s="49"/>
      <c r="V563" s="49"/>
      <c r="W563" s="49"/>
    </row>
    <row r="564" ht="15.75" customHeight="1">
      <c r="C564" s="49"/>
      <c r="I564" s="49"/>
      <c r="J564" s="49"/>
      <c r="O564" s="49"/>
      <c r="V564" s="49"/>
      <c r="W564" s="49"/>
    </row>
    <row r="565" ht="15.75" customHeight="1">
      <c r="C565" s="49"/>
      <c r="I565" s="49"/>
      <c r="J565" s="49"/>
      <c r="O565" s="49"/>
      <c r="V565" s="49"/>
      <c r="W565" s="49"/>
    </row>
    <row r="566" ht="15.75" customHeight="1">
      <c r="C566" s="49"/>
      <c r="I566" s="49"/>
      <c r="J566" s="49"/>
      <c r="O566" s="49"/>
      <c r="V566" s="49"/>
      <c r="W566" s="49"/>
    </row>
    <row r="567" ht="15.75" customHeight="1">
      <c r="C567" s="49"/>
      <c r="I567" s="49"/>
      <c r="J567" s="49"/>
      <c r="O567" s="49"/>
      <c r="V567" s="49"/>
      <c r="W567" s="49"/>
    </row>
    <row r="568" ht="15.75" customHeight="1">
      <c r="C568" s="49"/>
      <c r="I568" s="49"/>
      <c r="J568" s="49"/>
      <c r="O568" s="49"/>
      <c r="V568" s="49"/>
      <c r="W568" s="49"/>
    </row>
    <row r="569" ht="15.75" customHeight="1">
      <c r="C569" s="49"/>
      <c r="I569" s="49"/>
      <c r="J569" s="49"/>
      <c r="O569" s="49"/>
      <c r="V569" s="49"/>
      <c r="W569" s="49"/>
    </row>
    <row r="570" ht="15.75" customHeight="1">
      <c r="C570" s="49"/>
      <c r="I570" s="49"/>
      <c r="J570" s="49"/>
      <c r="O570" s="49"/>
      <c r="V570" s="49"/>
      <c r="W570" s="49"/>
    </row>
    <row r="571" ht="15.75" customHeight="1">
      <c r="C571" s="49"/>
      <c r="I571" s="49"/>
      <c r="J571" s="49"/>
      <c r="O571" s="49"/>
      <c r="V571" s="49"/>
      <c r="W571" s="49"/>
    </row>
    <row r="572" ht="15.75" customHeight="1">
      <c r="C572" s="49"/>
      <c r="I572" s="49"/>
      <c r="J572" s="49"/>
      <c r="O572" s="49"/>
      <c r="V572" s="49"/>
      <c r="W572" s="49"/>
    </row>
    <row r="573" ht="15.75" customHeight="1">
      <c r="C573" s="49"/>
      <c r="I573" s="49"/>
      <c r="J573" s="49"/>
      <c r="O573" s="49"/>
      <c r="V573" s="49"/>
      <c r="W573" s="49"/>
    </row>
    <row r="574" ht="15.75" customHeight="1">
      <c r="C574" s="49"/>
      <c r="I574" s="49"/>
      <c r="J574" s="49"/>
      <c r="O574" s="49"/>
      <c r="V574" s="49"/>
      <c r="W574" s="49"/>
    </row>
    <row r="575" ht="15.75" customHeight="1">
      <c r="C575" s="49"/>
      <c r="I575" s="49"/>
      <c r="J575" s="49"/>
      <c r="O575" s="49"/>
      <c r="V575" s="49"/>
      <c r="W575" s="49"/>
    </row>
    <row r="576" ht="15.75" customHeight="1">
      <c r="C576" s="49"/>
      <c r="I576" s="49"/>
      <c r="J576" s="49"/>
      <c r="O576" s="49"/>
      <c r="V576" s="49"/>
      <c r="W576" s="49"/>
    </row>
    <row r="577" ht="15.75" customHeight="1">
      <c r="C577" s="49"/>
      <c r="I577" s="49"/>
      <c r="J577" s="49"/>
      <c r="O577" s="49"/>
      <c r="V577" s="49"/>
      <c r="W577" s="49"/>
    </row>
    <row r="578" ht="15.75" customHeight="1">
      <c r="C578" s="49"/>
      <c r="I578" s="49"/>
      <c r="J578" s="49"/>
      <c r="O578" s="49"/>
      <c r="V578" s="49"/>
      <c r="W578" s="49"/>
    </row>
    <row r="579" ht="15.75" customHeight="1">
      <c r="C579" s="49"/>
      <c r="I579" s="49"/>
      <c r="J579" s="49"/>
      <c r="O579" s="49"/>
      <c r="V579" s="49"/>
      <c r="W579" s="49"/>
    </row>
    <row r="580" ht="15.75" customHeight="1">
      <c r="C580" s="49"/>
      <c r="I580" s="49"/>
      <c r="J580" s="49"/>
      <c r="O580" s="49"/>
      <c r="V580" s="49"/>
      <c r="W580" s="49"/>
    </row>
    <row r="581" ht="15.75" customHeight="1">
      <c r="C581" s="49"/>
      <c r="I581" s="49"/>
      <c r="J581" s="49"/>
      <c r="O581" s="49"/>
      <c r="V581" s="49"/>
      <c r="W581" s="49"/>
    </row>
    <row r="582" ht="15.75" customHeight="1">
      <c r="C582" s="49"/>
      <c r="I582" s="49"/>
      <c r="J582" s="49"/>
      <c r="O582" s="49"/>
      <c r="V582" s="49"/>
      <c r="W582" s="49"/>
    </row>
    <row r="583" ht="15.75" customHeight="1">
      <c r="C583" s="49"/>
      <c r="I583" s="49"/>
      <c r="J583" s="49"/>
      <c r="O583" s="49"/>
      <c r="V583" s="49"/>
      <c r="W583" s="49"/>
    </row>
    <row r="584" ht="15.75" customHeight="1">
      <c r="C584" s="49"/>
      <c r="I584" s="49"/>
      <c r="J584" s="49"/>
      <c r="O584" s="49"/>
      <c r="V584" s="49"/>
      <c r="W584" s="49"/>
    </row>
    <row r="585" ht="15.75" customHeight="1">
      <c r="C585" s="49"/>
      <c r="I585" s="49"/>
      <c r="J585" s="49"/>
      <c r="O585" s="49"/>
      <c r="V585" s="49"/>
      <c r="W585" s="49"/>
    </row>
    <row r="586" ht="15.75" customHeight="1">
      <c r="C586" s="49"/>
      <c r="I586" s="49"/>
      <c r="J586" s="49"/>
      <c r="O586" s="49"/>
      <c r="V586" s="49"/>
      <c r="W586" s="49"/>
    </row>
    <row r="587" ht="15.75" customHeight="1">
      <c r="C587" s="49"/>
      <c r="I587" s="49"/>
      <c r="J587" s="49"/>
      <c r="O587" s="49"/>
      <c r="V587" s="49"/>
      <c r="W587" s="49"/>
    </row>
    <row r="588" ht="15.75" customHeight="1">
      <c r="C588" s="49"/>
      <c r="I588" s="49"/>
      <c r="J588" s="49"/>
      <c r="O588" s="49"/>
      <c r="V588" s="49"/>
      <c r="W588" s="49"/>
    </row>
    <row r="589" ht="15.75" customHeight="1">
      <c r="C589" s="49"/>
      <c r="I589" s="49"/>
      <c r="J589" s="49"/>
      <c r="O589" s="49"/>
      <c r="V589" s="49"/>
      <c r="W589" s="49"/>
    </row>
    <row r="590" ht="15.75" customHeight="1">
      <c r="C590" s="49"/>
      <c r="I590" s="49"/>
      <c r="J590" s="49"/>
      <c r="O590" s="49"/>
      <c r="V590" s="49"/>
      <c r="W590" s="49"/>
    </row>
    <row r="591" ht="15.75" customHeight="1">
      <c r="C591" s="49"/>
      <c r="I591" s="49"/>
      <c r="J591" s="49"/>
      <c r="O591" s="49"/>
      <c r="V591" s="49"/>
      <c r="W591" s="49"/>
    </row>
    <row r="592" ht="15.75" customHeight="1">
      <c r="C592" s="49"/>
      <c r="I592" s="49"/>
      <c r="J592" s="49"/>
      <c r="O592" s="49"/>
      <c r="V592" s="49"/>
      <c r="W592" s="49"/>
    </row>
    <row r="593" ht="15.75" customHeight="1">
      <c r="C593" s="49"/>
      <c r="I593" s="49"/>
      <c r="J593" s="49"/>
      <c r="O593" s="49"/>
      <c r="V593" s="49"/>
      <c r="W593" s="49"/>
    </row>
    <row r="594" ht="15.75" customHeight="1">
      <c r="C594" s="49"/>
      <c r="I594" s="49"/>
      <c r="J594" s="49"/>
      <c r="O594" s="49"/>
      <c r="V594" s="49"/>
      <c r="W594" s="49"/>
    </row>
    <row r="595" ht="15.75" customHeight="1">
      <c r="C595" s="49"/>
      <c r="I595" s="49"/>
      <c r="J595" s="49"/>
      <c r="O595" s="49"/>
      <c r="V595" s="49"/>
      <c r="W595" s="49"/>
    </row>
    <row r="596" ht="15.75" customHeight="1">
      <c r="C596" s="49"/>
      <c r="I596" s="49"/>
      <c r="J596" s="49"/>
      <c r="O596" s="49"/>
      <c r="V596" s="49"/>
      <c r="W596" s="49"/>
    </row>
    <row r="597" ht="15.75" customHeight="1">
      <c r="C597" s="49"/>
      <c r="I597" s="49"/>
      <c r="J597" s="49"/>
      <c r="O597" s="49"/>
      <c r="V597" s="49"/>
      <c r="W597" s="49"/>
    </row>
    <row r="598" ht="15.75" customHeight="1">
      <c r="C598" s="49"/>
      <c r="I598" s="49"/>
      <c r="J598" s="49"/>
      <c r="O598" s="49"/>
      <c r="V598" s="49"/>
      <c r="W598" s="49"/>
    </row>
    <row r="599" ht="15.75" customHeight="1">
      <c r="C599" s="49"/>
      <c r="I599" s="49"/>
      <c r="J599" s="49"/>
      <c r="O599" s="49"/>
      <c r="V599" s="49"/>
      <c r="W599" s="49"/>
    </row>
    <row r="600" ht="15.75" customHeight="1">
      <c r="C600" s="49"/>
      <c r="I600" s="49"/>
      <c r="J600" s="49"/>
      <c r="O600" s="49"/>
      <c r="V600" s="49"/>
      <c r="W600" s="49"/>
    </row>
    <row r="601" ht="15.75" customHeight="1">
      <c r="C601" s="49"/>
      <c r="I601" s="49"/>
      <c r="J601" s="49"/>
      <c r="O601" s="49"/>
      <c r="V601" s="49"/>
      <c r="W601" s="49"/>
    </row>
    <row r="602" ht="15.75" customHeight="1">
      <c r="C602" s="49"/>
      <c r="I602" s="49"/>
      <c r="J602" s="49"/>
      <c r="O602" s="49"/>
      <c r="V602" s="49"/>
      <c r="W602" s="49"/>
    </row>
    <row r="603" ht="15.75" customHeight="1">
      <c r="C603" s="49"/>
      <c r="I603" s="49"/>
      <c r="J603" s="49"/>
      <c r="O603" s="49"/>
      <c r="V603" s="49"/>
      <c r="W603" s="49"/>
    </row>
    <row r="604" ht="15.75" customHeight="1">
      <c r="C604" s="49"/>
      <c r="I604" s="49"/>
      <c r="J604" s="49"/>
      <c r="O604" s="49"/>
      <c r="V604" s="49"/>
      <c r="W604" s="49"/>
    </row>
    <row r="605" ht="15.75" customHeight="1">
      <c r="C605" s="49"/>
      <c r="I605" s="49"/>
      <c r="J605" s="49"/>
      <c r="O605" s="49"/>
      <c r="V605" s="49"/>
      <c r="W605" s="49"/>
    </row>
    <row r="606" ht="15.75" customHeight="1">
      <c r="C606" s="49"/>
      <c r="I606" s="49"/>
      <c r="J606" s="49"/>
      <c r="O606" s="49"/>
      <c r="V606" s="49"/>
      <c r="W606" s="49"/>
    </row>
    <row r="607" ht="15.75" customHeight="1">
      <c r="C607" s="49"/>
      <c r="I607" s="49"/>
      <c r="J607" s="49"/>
      <c r="O607" s="49"/>
      <c r="V607" s="49"/>
      <c r="W607" s="49"/>
    </row>
    <row r="608" ht="15.75" customHeight="1">
      <c r="C608" s="49"/>
      <c r="I608" s="49"/>
      <c r="J608" s="49"/>
      <c r="O608" s="49"/>
      <c r="V608" s="49"/>
      <c r="W608" s="49"/>
    </row>
    <row r="609" ht="15.75" customHeight="1">
      <c r="C609" s="49"/>
      <c r="I609" s="49"/>
      <c r="J609" s="49"/>
      <c r="O609" s="49"/>
      <c r="V609" s="49"/>
      <c r="W609" s="49"/>
    </row>
    <row r="610" ht="15.75" customHeight="1">
      <c r="C610" s="49"/>
      <c r="I610" s="49"/>
      <c r="J610" s="49"/>
      <c r="O610" s="49"/>
      <c r="V610" s="49"/>
      <c r="W610" s="49"/>
    </row>
    <row r="611" ht="15.75" customHeight="1">
      <c r="C611" s="49"/>
      <c r="I611" s="49"/>
      <c r="J611" s="49"/>
      <c r="O611" s="49"/>
      <c r="V611" s="49"/>
      <c r="W611" s="49"/>
    </row>
    <row r="612" ht="15.75" customHeight="1">
      <c r="C612" s="49"/>
      <c r="I612" s="49"/>
      <c r="J612" s="49"/>
      <c r="O612" s="49"/>
      <c r="V612" s="49"/>
      <c r="W612" s="49"/>
    </row>
    <row r="613" ht="15.75" customHeight="1">
      <c r="C613" s="49"/>
      <c r="I613" s="49"/>
      <c r="J613" s="49"/>
      <c r="O613" s="49"/>
      <c r="V613" s="49"/>
      <c r="W613" s="49"/>
    </row>
    <row r="614" ht="15.75" customHeight="1">
      <c r="C614" s="49"/>
      <c r="I614" s="49"/>
      <c r="J614" s="49"/>
      <c r="O614" s="49"/>
      <c r="V614" s="49"/>
      <c r="W614" s="49"/>
    </row>
    <row r="615" ht="15.75" customHeight="1">
      <c r="C615" s="49"/>
      <c r="I615" s="49"/>
      <c r="J615" s="49"/>
      <c r="O615" s="49"/>
      <c r="V615" s="49"/>
      <c r="W615" s="49"/>
    </row>
    <row r="616" ht="15.75" customHeight="1">
      <c r="C616" s="49"/>
      <c r="I616" s="49"/>
      <c r="J616" s="49"/>
      <c r="O616" s="49"/>
      <c r="V616" s="49"/>
      <c r="W616" s="49"/>
    </row>
    <row r="617" ht="15.75" customHeight="1">
      <c r="C617" s="49"/>
      <c r="I617" s="49"/>
      <c r="J617" s="49"/>
      <c r="O617" s="49"/>
      <c r="V617" s="49"/>
      <c r="W617" s="49"/>
    </row>
    <row r="618" ht="15.75" customHeight="1">
      <c r="C618" s="49"/>
      <c r="I618" s="49"/>
      <c r="J618" s="49"/>
      <c r="O618" s="49"/>
      <c r="V618" s="49"/>
      <c r="W618" s="49"/>
    </row>
    <row r="619" ht="15.75" customHeight="1">
      <c r="C619" s="49"/>
      <c r="I619" s="49"/>
      <c r="J619" s="49"/>
      <c r="O619" s="49"/>
      <c r="V619" s="49"/>
      <c r="W619" s="49"/>
    </row>
    <row r="620" ht="15.75" customHeight="1">
      <c r="C620" s="49"/>
      <c r="I620" s="49"/>
      <c r="J620" s="49"/>
      <c r="O620" s="49"/>
      <c r="V620" s="49"/>
      <c r="W620" s="49"/>
    </row>
    <row r="621" ht="15.75" customHeight="1">
      <c r="C621" s="49"/>
      <c r="I621" s="49"/>
      <c r="J621" s="49"/>
      <c r="O621" s="49"/>
      <c r="V621" s="49"/>
      <c r="W621" s="49"/>
    </row>
    <row r="622" ht="15.75" customHeight="1">
      <c r="C622" s="49"/>
      <c r="I622" s="49"/>
      <c r="J622" s="49"/>
      <c r="O622" s="49"/>
      <c r="V622" s="49"/>
      <c r="W622" s="49"/>
    </row>
    <row r="623" ht="15.75" customHeight="1">
      <c r="C623" s="49"/>
      <c r="I623" s="49"/>
      <c r="J623" s="49"/>
      <c r="O623" s="49"/>
      <c r="V623" s="49"/>
      <c r="W623" s="49"/>
    </row>
    <row r="624" ht="15.75" customHeight="1">
      <c r="C624" s="49"/>
      <c r="I624" s="49"/>
      <c r="J624" s="49"/>
      <c r="O624" s="49"/>
      <c r="V624" s="49"/>
      <c r="W624" s="49"/>
    </row>
    <row r="625" ht="15.75" customHeight="1">
      <c r="C625" s="49"/>
      <c r="I625" s="49"/>
      <c r="J625" s="49"/>
      <c r="O625" s="49"/>
      <c r="V625" s="49"/>
      <c r="W625" s="49"/>
    </row>
    <row r="626" ht="15.75" customHeight="1">
      <c r="C626" s="49"/>
      <c r="I626" s="49"/>
      <c r="J626" s="49"/>
      <c r="O626" s="49"/>
      <c r="V626" s="49"/>
      <c r="W626" s="49"/>
    </row>
    <row r="627" ht="15.75" customHeight="1">
      <c r="C627" s="49"/>
      <c r="I627" s="49"/>
      <c r="J627" s="49"/>
      <c r="O627" s="49"/>
      <c r="V627" s="49"/>
      <c r="W627" s="49"/>
    </row>
    <row r="628" ht="15.75" customHeight="1">
      <c r="C628" s="49"/>
      <c r="I628" s="49"/>
      <c r="J628" s="49"/>
      <c r="O628" s="49"/>
      <c r="V628" s="49"/>
      <c r="W628" s="49"/>
    </row>
    <row r="629" ht="15.75" customHeight="1">
      <c r="C629" s="49"/>
      <c r="I629" s="49"/>
      <c r="J629" s="49"/>
      <c r="O629" s="49"/>
      <c r="V629" s="49"/>
      <c r="W629" s="49"/>
    </row>
    <row r="630" ht="15.75" customHeight="1">
      <c r="C630" s="49"/>
      <c r="I630" s="49"/>
      <c r="J630" s="49"/>
      <c r="O630" s="49"/>
      <c r="V630" s="49"/>
      <c r="W630" s="49"/>
    </row>
    <row r="631" ht="15.75" customHeight="1">
      <c r="C631" s="49"/>
      <c r="I631" s="49"/>
      <c r="J631" s="49"/>
      <c r="O631" s="49"/>
      <c r="V631" s="49"/>
      <c r="W631" s="49"/>
    </row>
    <row r="632" ht="15.75" customHeight="1">
      <c r="C632" s="49"/>
      <c r="I632" s="49"/>
      <c r="J632" s="49"/>
      <c r="O632" s="49"/>
      <c r="V632" s="49"/>
      <c r="W632" s="49"/>
    </row>
    <row r="633" ht="15.75" customHeight="1">
      <c r="C633" s="49"/>
      <c r="I633" s="49"/>
      <c r="J633" s="49"/>
      <c r="O633" s="49"/>
      <c r="V633" s="49"/>
      <c r="W633" s="49"/>
    </row>
    <row r="634" ht="15.75" customHeight="1">
      <c r="C634" s="49"/>
      <c r="I634" s="49"/>
      <c r="J634" s="49"/>
      <c r="O634" s="49"/>
      <c r="V634" s="49"/>
      <c r="W634" s="49"/>
    </row>
    <row r="635" ht="15.75" customHeight="1">
      <c r="C635" s="49"/>
      <c r="I635" s="49"/>
      <c r="J635" s="49"/>
      <c r="O635" s="49"/>
      <c r="V635" s="49"/>
      <c r="W635" s="49"/>
    </row>
    <row r="636" ht="15.75" customHeight="1">
      <c r="C636" s="49"/>
      <c r="I636" s="49"/>
      <c r="J636" s="49"/>
      <c r="O636" s="49"/>
      <c r="V636" s="49"/>
      <c r="W636" s="49"/>
    </row>
    <row r="637" ht="15.75" customHeight="1">
      <c r="C637" s="49"/>
      <c r="I637" s="49"/>
      <c r="J637" s="49"/>
      <c r="O637" s="49"/>
      <c r="V637" s="49"/>
      <c r="W637" s="49"/>
    </row>
    <row r="638" ht="15.75" customHeight="1">
      <c r="C638" s="49"/>
      <c r="I638" s="49"/>
      <c r="J638" s="49"/>
      <c r="O638" s="49"/>
      <c r="V638" s="49"/>
      <c r="W638" s="49"/>
    </row>
    <row r="639" ht="15.75" customHeight="1">
      <c r="C639" s="49"/>
      <c r="I639" s="49"/>
      <c r="J639" s="49"/>
      <c r="O639" s="49"/>
      <c r="V639" s="49"/>
      <c r="W639" s="49"/>
    </row>
    <row r="640" ht="15.75" customHeight="1">
      <c r="C640" s="49"/>
      <c r="I640" s="49"/>
      <c r="J640" s="49"/>
      <c r="O640" s="49"/>
      <c r="V640" s="49"/>
      <c r="W640" s="49"/>
    </row>
    <row r="641" ht="15.75" customHeight="1">
      <c r="C641" s="49"/>
      <c r="I641" s="49"/>
      <c r="J641" s="49"/>
      <c r="O641" s="49"/>
      <c r="V641" s="49"/>
      <c r="W641" s="49"/>
    </row>
    <row r="642" ht="15.75" customHeight="1">
      <c r="C642" s="49"/>
      <c r="I642" s="49"/>
      <c r="J642" s="49"/>
      <c r="O642" s="49"/>
      <c r="V642" s="49"/>
      <c r="W642" s="49"/>
    </row>
    <row r="643" ht="15.75" customHeight="1">
      <c r="C643" s="49"/>
      <c r="I643" s="49"/>
      <c r="J643" s="49"/>
      <c r="O643" s="49"/>
      <c r="V643" s="49"/>
      <c r="W643" s="49"/>
    </row>
    <row r="644" ht="15.75" customHeight="1">
      <c r="C644" s="49"/>
      <c r="I644" s="49"/>
      <c r="J644" s="49"/>
      <c r="O644" s="49"/>
      <c r="V644" s="49"/>
      <c r="W644" s="49"/>
    </row>
    <row r="645" ht="15.75" customHeight="1">
      <c r="C645" s="49"/>
      <c r="I645" s="49"/>
      <c r="J645" s="49"/>
      <c r="O645" s="49"/>
      <c r="V645" s="49"/>
      <c r="W645" s="49"/>
    </row>
    <row r="646" ht="15.75" customHeight="1">
      <c r="C646" s="49"/>
      <c r="I646" s="49"/>
      <c r="J646" s="49"/>
      <c r="O646" s="49"/>
      <c r="V646" s="49"/>
      <c r="W646" s="49"/>
    </row>
    <row r="647" ht="15.75" customHeight="1">
      <c r="C647" s="49"/>
      <c r="I647" s="49"/>
      <c r="J647" s="49"/>
      <c r="O647" s="49"/>
      <c r="V647" s="49"/>
      <c r="W647" s="49"/>
    </row>
    <row r="648" ht="15.75" customHeight="1">
      <c r="C648" s="49"/>
      <c r="I648" s="49"/>
      <c r="J648" s="49"/>
      <c r="O648" s="49"/>
      <c r="V648" s="49"/>
      <c r="W648" s="49"/>
    </row>
    <row r="649" ht="15.75" customHeight="1">
      <c r="C649" s="49"/>
      <c r="I649" s="49"/>
      <c r="J649" s="49"/>
      <c r="O649" s="49"/>
      <c r="V649" s="49"/>
      <c r="W649" s="49"/>
    </row>
    <row r="650" ht="15.75" customHeight="1">
      <c r="C650" s="49"/>
      <c r="I650" s="49"/>
      <c r="J650" s="49"/>
      <c r="O650" s="49"/>
      <c r="V650" s="49"/>
      <c r="W650" s="49"/>
    </row>
    <row r="651" ht="15.75" customHeight="1">
      <c r="C651" s="49"/>
      <c r="I651" s="49"/>
      <c r="J651" s="49"/>
      <c r="O651" s="49"/>
      <c r="V651" s="49"/>
      <c r="W651" s="49"/>
    </row>
    <row r="652" ht="15.75" customHeight="1">
      <c r="C652" s="49"/>
      <c r="I652" s="49"/>
      <c r="J652" s="49"/>
      <c r="O652" s="49"/>
      <c r="V652" s="49"/>
      <c r="W652" s="49"/>
    </row>
    <row r="653" ht="15.75" customHeight="1">
      <c r="C653" s="49"/>
      <c r="I653" s="49"/>
      <c r="J653" s="49"/>
      <c r="O653" s="49"/>
      <c r="V653" s="49"/>
      <c r="W653" s="49"/>
    </row>
    <row r="654" ht="15.75" customHeight="1">
      <c r="C654" s="49"/>
      <c r="I654" s="49"/>
      <c r="J654" s="49"/>
      <c r="O654" s="49"/>
      <c r="V654" s="49"/>
      <c r="W654" s="49"/>
    </row>
    <row r="655" ht="15.75" customHeight="1">
      <c r="C655" s="49"/>
      <c r="I655" s="49"/>
      <c r="J655" s="49"/>
      <c r="O655" s="49"/>
      <c r="V655" s="49"/>
      <c r="W655" s="49"/>
    </row>
    <row r="656" ht="15.75" customHeight="1">
      <c r="C656" s="49"/>
      <c r="I656" s="49"/>
      <c r="J656" s="49"/>
      <c r="O656" s="49"/>
      <c r="V656" s="49"/>
      <c r="W656" s="49"/>
    </row>
    <row r="657" ht="15.75" customHeight="1">
      <c r="C657" s="49"/>
      <c r="I657" s="49"/>
      <c r="J657" s="49"/>
      <c r="O657" s="49"/>
      <c r="V657" s="49"/>
      <c r="W657" s="49"/>
    </row>
    <row r="658" ht="15.75" customHeight="1">
      <c r="C658" s="49"/>
      <c r="I658" s="49"/>
      <c r="J658" s="49"/>
      <c r="O658" s="49"/>
      <c r="V658" s="49"/>
      <c r="W658" s="49"/>
    </row>
    <row r="659" ht="15.75" customHeight="1">
      <c r="C659" s="49"/>
      <c r="I659" s="49"/>
      <c r="J659" s="49"/>
      <c r="O659" s="49"/>
      <c r="V659" s="49"/>
      <c r="W659" s="49"/>
    </row>
    <row r="660" ht="15.75" customHeight="1">
      <c r="C660" s="49"/>
      <c r="I660" s="49"/>
      <c r="J660" s="49"/>
      <c r="O660" s="49"/>
      <c r="V660" s="49"/>
      <c r="W660" s="49"/>
    </row>
    <row r="661" ht="15.75" customHeight="1">
      <c r="C661" s="49"/>
      <c r="I661" s="49"/>
      <c r="J661" s="49"/>
      <c r="O661" s="49"/>
      <c r="V661" s="49"/>
      <c r="W661" s="49"/>
    </row>
    <row r="662" ht="15.75" customHeight="1">
      <c r="C662" s="49"/>
      <c r="I662" s="49"/>
      <c r="J662" s="49"/>
      <c r="O662" s="49"/>
      <c r="V662" s="49"/>
      <c r="W662" s="49"/>
    </row>
    <row r="663" ht="15.75" customHeight="1">
      <c r="C663" s="49"/>
      <c r="I663" s="49"/>
      <c r="J663" s="49"/>
      <c r="O663" s="49"/>
      <c r="V663" s="49"/>
      <c r="W663" s="49"/>
    </row>
    <row r="664" ht="15.75" customHeight="1">
      <c r="C664" s="49"/>
      <c r="I664" s="49"/>
      <c r="J664" s="49"/>
      <c r="O664" s="49"/>
      <c r="V664" s="49"/>
      <c r="W664" s="49"/>
    </row>
    <row r="665" ht="15.75" customHeight="1">
      <c r="C665" s="49"/>
      <c r="I665" s="49"/>
      <c r="J665" s="49"/>
      <c r="O665" s="49"/>
      <c r="V665" s="49"/>
      <c r="W665" s="49"/>
    </row>
    <row r="666" ht="15.75" customHeight="1">
      <c r="C666" s="49"/>
      <c r="I666" s="49"/>
      <c r="J666" s="49"/>
      <c r="O666" s="49"/>
      <c r="V666" s="49"/>
      <c r="W666" s="49"/>
    </row>
    <row r="667" ht="15.75" customHeight="1">
      <c r="C667" s="49"/>
      <c r="I667" s="49"/>
      <c r="J667" s="49"/>
      <c r="O667" s="49"/>
      <c r="V667" s="49"/>
      <c r="W667" s="49"/>
    </row>
    <row r="668" ht="15.75" customHeight="1">
      <c r="C668" s="49"/>
      <c r="I668" s="49"/>
      <c r="J668" s="49"/>
      <c r="O668" s="49"/>
      <c r="V668" s="49"/>
      <c r="W668" s="49"/>
    </row>
    <row r="669" ht="15.75" customHeight="1">
      <c r="C669" s="49"/>
      <c r="I669" s="49"/>
      <c r="J669" s="49"/>
      <c r="O669" s="49"/>
      <c r="V669" s="49"/>
      <c r="W669" s="49"/>
    </row>
    <row r="670" ht="15.75" customHeight="1">
      <c r="C670" s="49"/>
      <c r="I670" s="49"/>
      <c r="J670" s="49"/>
      <c r="O670" s="49"/>
      <c r="V670" s="49"/>
      <c r="W670" s="49"/>
    </row>
    <row r="671" ht="15.75" customHeight="1">
      <c r="C671" s="49"/>
      <c r="I671" s="49"/>
      <c r="J671" s="49"/>
      <c r="O671" s="49"/>
      <c r="V671" s="49"/>
      <c r="W671" s="49"/>
    </row>
    <row r="672" ht="15.75" customHeight="1">
      <c r="C672" s="49"/>
      <c r="I672" s="49"/>
      <c r="J672" s="49"/>
      <c r="O672" s="49"/>
      <c r="V672" s="49"/>
      <c r="W672" s="49"/>
    </row>
    <row r="673" ht="15.75" customHeight="1">
      <c r="C673" s="49"/>
      <c r="I673" s="49"/>
      <c r="J673" s="49"/>
      <c r="O673" s="49"/>
      <c r="V673" s="49"/>
      <c r="W673" s="49"/>
    </row>
    <row r="674" ht="15.75" customHeight="1">
      <c r="C674" s="49"/>
      <c r="I674" s="49"/>
      <c r="J674" s="49"/>
      <c r="O674" s="49"/>
      <c r="V674" s="49"/>
      <c r="W674" s="49"/>
    </row>
    <row r="675" ht="15.75" customHeight="1">
      <c r="C675" s="49"/>
      <c r="I675" s="49"/>
      <c r="J675" s="49"/>
      <c r="O675" s="49"/>
      <c r="V675" s="49"/>
      <c r="W675" s="49"/>
    </row>
    <row r="676" ht="15.75" customHeight="1">
      <c r="C676" s="49"/>
      <c r="I676" s="49"/>
      <c r="J676" s="49"/>
      <c r="O676" s="49"/>
      <c r="V676" s="49"/>
      <c r="W676" s="49"/>
    </row>
    <row r="677" ht="15.75" customHeight="1">
      <c r="C677" s="49"/>
      <c r="I677" s="49"/>
      <c r="J677" s="49"/>
      <c r="O677" s="49"/>
      <c r="V677" s="49"/>
      <c r="W677" s="49"/>
    </row>
    <row r="678" ht="15.75" customHeight="1">
      <c r="C678" s="49"/>
      <c r="I678" s="49"/>
      <c r="J678" s="49"/>
      <c r="O678" s="49"/>
      <c r="V678" s="49"/>
      <c r="W678" s="49"/>
    </row>
    <row r="679" ht="15.75" customHeight="1">
      <c r="C679" s="49"/>
      <c r="I679" s="49"/>
      <c r="J679" s="49"/>
      <c r="O679" s="49"/>
      <c r="V679" s="49"/>
      <c r="W679" s="49"/>
    </row>
    <row r="680" ht="15.75" customHeight="1">
      <c r="C680" s="49"/>
      <c r="I680" s="49"/>
      <c r="J680" s="49"/>
      <c r="O680" s="49"/>
      <c r="V680" s="49"/>
      <c r="W680" s="49"/>
    </row>
    <row r="681" ht="15.75" customHeight="1">
      <c r="C681" s="49"/>
      <c r="I681" s="49"/>
      <c r="J681" s="49"/>
      <c r="O681" s="49"/>
      <c r="V681" s="49"/>
      <c r="W681" s="49"/>
    </row>
    <row r="682" ht="15.75" customHeight="1">
      <c r="C682" s="49"/>
      <c r="I682" s="49"/>
      <c r="J682" s="49"/>
      <c r="O682" s="49"/>
      <c r="V682" s="49"/>
      <c r="W682" s="49"/>
    </row>
    <row r="683" ht="15.75" customHeight="1">
      <c r="C683" s="49"/>
      <c r="I683" s="49"/>
      <c r="J683" s="49"/>
      <c r="O683" s="49"/>
      <c r="V683" s="49"/>
      <c r="W683" s="49"/>
    </row>
    <row r="684" ht="15.75" customHeight="1">
      <c r="C684" s="49"/>
      <c r="I684" s="49"/>
      <c r="J684" s="49"/>
      <c r="O684" s="49"/>
      <c r="V684" s="49"/>
      <c r="W684" s="49"/>
    </row>
    <row r="685" ht="15.75" customHeight="1">
      <c r="C685" s="49"/>
      <c r="I685" s="49"/>
      <c r="J685" s="49"/>
      <c r="O685" s="49"/>
      <c r="V685" s="49"/>
      <c r="W685" s="49"/>
    </row>
    <row r="686" ht="15.75" customHeight="1">
      <c r="C686" s="49"/>
      <c r="I686" s="49"/>
      <c r="J686" s="49"/>
      <c r="O686" s="49"/>
      <c r="V686" s="49"/>
      <c r="W686" s="49"/>
    </row>
    <row r="687" ht="15.75" customHeight="1">
      <c r="C687" s="49"/>
      <c r="I687" s="49"/>
      <c r="J687" s="49"/>
      <c r="O687" s="49"/>
      <c r="V687" s="49"/>
      <c r="W687" s="49"/>
    </row>
    <row r="688" ht="15.75" customHeight="1">
      <c r="C688" s="49"/>
      <c r="I688" s="49"/>
      <c r="J688" s="49"/>
      <c r="O688" s="49"/>
      <c r="V688" s="49"/>
      <c r="W688" s="49"/>
    </row>
    <row r="689" ht="15.75" customHeight="1">
      <c r="C689" s="49"/>
      <c r="I689" s="49"/>
      <c r="J689" s="49"/>
      <c r="O689" s="49"/>
      <c r="V689" s="49"/>
      <c r="W689" s="49"/>
    </row>
    <row r="690" ht="15.75" customHeight="1">
      <c r="C690" s="49"/>
      <c r="I690" s="49"/>
      <c r="J690" s="49"/>
      <c r="O690" s="49"/>
      <c r="V690" s="49"/>
      <c r="W690" s="49"/>
    </row>
    <row r="691" ht="15.75" customHeight="1">
      <c r="C691" s="49"/>
      <c r="I691" s="49"/>
      <c r="J691" s="49"/>
      <c r="O691" s="49"/>
      <c r="V691" s="49"/>
      <c r="W691" s="49"/>
    </row>
    <row r="692" ht="15.75" customHeight="1">
      <c r="C692" s="49"/>
      <c r="I692" s="49"/>
      <c r="J692" s="49"/>
      <c r="O692" s="49"/>
      <c r="V692" s="49"/>
      <c r="W692" s="49"/>
    </row>
    <row r="693" ht="15.75" customHeight="1">
      <c r="C693" s="49"/>
      <c r="I693" s="49"/>
      <c r="J693" s="49"/>
      <c r="O693" s="49"/>
      <c r="V693" s="49"/>
      <c r="W693" s="49"/>
    </row>
    <row r="694" ht="15.75" customHeight="1">
      <c r="C694" s="49"/>
      <c r="I694" s="49"/>
      <c r="J694" s="49"/>
      <c r="O694" s="49"/>
      <c r="V694" s="49"/>
      <c r="W694" s="49"/>
    </row>
    <row r="695" ht="15.75" customHeight="1">
      <c r="C695" s="49"/>
      <c r="I695" s="49"/>
      <c r="J695" s="49"/>
      <c r="O695" s="49"/>
      <c r="V695" s="49"/>
      <c r="W695" s="49"/>
    </row>
    <row r="696" ht="15.75" customHeight="1">
      <c r="C696" s="49"/>
      <c r="I696" s="49"/>
      <c r="J696" s="49"/>
      <c r="O696" s="49"/>
      <c r="V696" s="49"/>
      <c r="W696" s="49"/>
    </row>
    <row r="697" ht="15.75" customHeight="1">
      <c r="C697" s="49"/>
      <c r="I697" s="49"/>
      <c r="J697" s="49"/>
      <c r="O697" s="49"/>
      <c r="V697" s="49"/>
      <c r="W697" s="49"/>
    </row>
    <row r="698" ht="15.75" customHeight="1">
      <c r="C698" s="49"/>
      <c r="I698" s="49"/>
      <c r="J698" s="49"/>
      <c r="O698" s="49"/>
      <c r="V698" s="49"/>
      <c r="W698" s="49"/>
    </row>
    <row r="699" ht="15.75" customHeight="1">
      <c r="C699" s="49"/>
      <c r="I699" s="49"/>
      <c r="J699" s="49"/>
      <c r="O699" s="49"/>
      <c r="V699" s="49"/>
      <c r="W699" s="49"/>
    </row>
    <row r="700" ht="15.75" customHeight="1">
      <c r="C700" s="49"/>
      <c r="I700" s="49"/>
      <c r="J700" s="49"/>
      <c r="O700" s="49"/>
      <c r="V700" s="49"/>
      <c r="W700" s="49"/>
    </row>
    <row r="701" ht="15.75" customHeight="1">
      <c r="C701" s="49"/>
      <c r="I701" s="49"/>
      <c r="J701" s="49"/>
      <c r="O701" s="49"/>
      <c r="V701" s="49"/>
      <c r="W701" s="49"/>
    </row>
    <row r="702" ht="15.75" customHeight="1">
      <c r="C702" s="49"/>
      <c r="I702" s="49"/>
      <c r="J702" s="49"/>
      <c r="O702" s="49"/>
      <c r="V702" s="49"/>
      <c r="W702" s="49"/>
    </row>
    <row r="703" ht="15.75" customHeight="1">
      <c r="C703" s="49"/>
      <c r="I703" s="49"/>
      <c r="J703" s="49"/>
      <c r="O703" s="49"/>
      <c r="V703" s="49"/>
      <c r="W703" s="49"/>
    </row>
    <row r="704" ht="15.75" customHeight="1">
      <c r="C704" s="49"/>
      <c r="I704" s="49"/>
      <c r="J704" s="49"/>
      <c r="O704" s="49"/>
      <c r="V704" s="49"/>
      <c r="W704" s="49"/>
    </row>
    <row r="705" ht="15.75" customHeight="1">
      <c r="C705" s="49"/>
      <c r="I705" s="49"/>
      <c r="J705" s="49"/>
      <c r="O705" s="49"/>
      <c r="V705" s="49"/>
      <c r="W705" s="49"/>
    </row>
    <row r="706" ht="15.75" customHeight="1">
      <c r="C706" s="49"/>
      <c r="I706" s="49"/>
      <c r="J706" s="49"/>
      <c r="O706" s="49"/>
      <c r="V706" s="49"/>
      <c r="W706" s="49"/>
    </row>
    <row r="707" ht="15.75" customHeight="1">
      <c r="C707" s="49"/>
      <c r="I707" s="49"/>
      <c r="J707" s="49"/>
      <c r="O707" s="49"/>
      <c r="V707" s="49"/>
      <c r="W707" s="49"/>
    </row>
    <row r="708" ht="15.75" customHeight="1">
      <c r="C708" s="49"/>
      <c r="I708" s="49"/>
      <c r="J708" s="49"/>
      <c r="O708" s="49"/>
      <c r="V708" s="49"/>
      <c r="W708" s="49"/>
    </row>
    <row r="709" ht="15.75" customHeight="1">
      <c r="C709" s="49"/>
      <c r="I709" s="49"/>
      <c r="J709" s="49"/>
      <c r="O709" s="49"/>
      <c r="V709" s="49"/>
      <c r="W709" s="49"/>
    </row>
    <row r="710" ht="15.75" customHeight="1">
      <c r="C710" s="49"/>
      <c r="I710" s="49"/>
      <c r="J710" s="49"/>
      <c r="O710" s="49"/>
      <c r="V710" s="49"/>
      <c r="W710" s="49"/>
    </row>
    <row r="711" ht="15.75" customHeight="1">
      <c r="C711" s="49"/>
      <c r="I711" s="49"/>
      <c r="J711" s="49"/>
      <c r="O711" s="49"/>
      <c r="V711" s="49"/>
      <c r="W711" s="49"/>
    </row>
    <row r="712" ht="15.75" customHeight="1">
      <c r="C712" s="49"/>
      <c r="I712" s="49"/>
      <c r="J712" s="49"/>
      <c r="O712" s="49"/>
      <c r="V712" s="49"/>
      <c r="W712" s="49"/>
    </row>
    <row r="713" ht="15.75" customHeight="1">
      <c r="C713" s="49"/>
      <c r="I713" s="49"/>
      <c r="J713" s="49"/>
      <c r="O713" s="49"/>
      <c r="V713" s="49"/>
      <c r="W713" s="49"/>
    </row>
    <row r="714" ht="15.75" customHeight="1">
      <c r="C714" s="49"/>
      <c r="I714" s="49"/>
      <c r="J714" s="49"/>
      <c r="O714" s="49"/>
      <c r="V714" s="49"/>
      <c r="W714" s="49"/>
    </row>
    <row r="715" ht="15.75" customHeight="1">
      <c r="C715" s="49"/>
      <c r="I715" s="49"/>
      <c r="J715" s="49"/>
      <c r="O715" s="49"/>
      <c r="V715" s="49"/>
      <c r="W715" s="49"/>
    </row>
    <row r="716" ht="15.75" customHeight="1">
      <c r="C716" s="49"/>
      <c r="I716" s="49"/>
      <c r="J716" s="49"/>
      <c r="O716" s="49"/>
      <c r="V716" s="49"/>
      <c r="W716" s="49"/>
    </row>
    <row r="717" ht="15.75" customHeight="1">
      <c r="C717" s="49"/>
      <c r="I717" s="49"/>
      <c r="J717" s="49"/>
      <c r="O717" s="49"/>
      <c r="V717" s="49"/>
      <c r="W717" s="49"/>
    </row>
    <row r="718" ht="15.75" customHeight="1">
      <c r="C718" s="49"/>
      <c r="I718" s="49"/>
      <c r="J718" s="49"/>
      <c r="O718" s="49"/>
      <c r="V718" s="49"/>
      <c r="W718" s="49"/>
    </row>
    <row r="719" ht="15.75" customHeight="1">
      <c r="C719" s="49"/>
      <c r="I719" s="49"/>
      <c r="J719" s="49"/>
      <c r="O719" s="49"/>
      <c r="V719" s="49"/>
      <c r="W719" s="49"/>
    </row>
    <row r="720" ht="15.75" customHeight="1">
      <c r="C720" s="49"/>
      <c r="I720" s="49"/>
      <c r="J720" s="49"/>
      <c r="O720" s="49"/>
      <c r="V720" s="49"/>
      <c r="W720" s="49"/>
    </row>
    <row r="721" ht="15.75" customHeight="1">
      <c r="C721" s="49"/>
      <c r="I721" s="49"/>
      <c r="J721" s="49"/>
      <c r="O721" s="49"/>
      <c r="V721" s="49"/>
      <c r="W721" s="49"/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2:O222">
    <cfRule type="expression" dxfId="8" priority="1">
      <formula>O2="Backlog"</formula>
    </cfRule>
  </conditionalFormatting>
  <conditionalFormatting sqref="O2:O222">
    <cfRule type="expression" dxfId="7" priority="2">
      <formula>O2="Chờ phân tích"</formula>
    </cfRule>
  </conditionalFormatting>
  <conditionalFormatting sqref="O2:O222">
    <cfRule type="expression" dxfId="9" priority="3">
      <formula>O2="Đang phân tích"</formula>
    </cfRule>
  </conditionalFormatting>
  <conditionalFormatting sqref="O2:O222">
    <cfRule type="expression" dxfId="10" priority="4">
      <formula>O2="Sẵn sàng phát triển"</formula>
    </cfRule>
  </conditionalFormatting>
  <conditionalFormatting sqref="O2:O222">
    <cfRule type="expression" dxfId="11" priority="5">
      <formula>O2="Đang phát triển"</formula>
    </cfRule>
  </conditionalFormatting>
  <conditionalFormatting sqref="O2:O222">
    <cfRule type="expression" dxfId="12" priority="6">
      <formula>O2="Review code"</formula>
    </cfRule>
  </conditionalFormatting>
  <conditionalFormatting sqref="O2:O222">
    <cfRule type="expression" dxfId="13" priority="7">
      <formula>O2="Chờ QA"</formula>
    </cfRule>
  </conditionalFormatting>
  <conditionalFormatting sqref="O2:O222">
    <cfRule type="expression" dxfId="14" priority="8">
      <formula>O2="Đang kiểm thử"</formula>
    </cfRule>
  </conditionalFormatting>
  <conditionalFormatting sqref="O2:O222">
    <cfRule type="expression" dxfId="15" priority="9">
      <formula>O2="Chờ UAT"</formula>
    </cfRule>
  </conditionalFormatting>
  <conditionalFormatting sqref="O2:O222">
    <cfRule type="expression" dxfId="16" priority="10">
      <formula>O2="Đang UAT"</formula>
    </cfRule>
  </conditionalFormatting>
  <conditionalFormatting sqref="O2:O222">
    <cfRule type="expression" dxfId="6" priority="11">
      <formula>O2="Bị chặn"</formula>
    </cfRule>
  </conditionalFormatting>
  <conditionalFormatting sqref="O2:O222">
    <cfRule type="expression" dxfId="5" priority="12">
      <formula>O2="Hoàn thành"</formula>
    </cfRule>
  </conditionalFormatting>
  <conditionalFormatting sqref="O2:O222">
    <cfRule type="expression" dxfId="17" priority="13">
      <formula>O2="Hủy"</formula>
    </cfRule>
  </conditionalFormatting>
  <conditionalFormatting sqref="J2:J222">
    <cfRule type="expression" dxfId="6" priority="14">
      <formula>J2="Cao nhất"</formula>
    </cfRule>
  </conditionalFormatting>
  <conditionalFormatting sqref="J2:J222">
    <cfRule type="expression" dxfId="13" priority="15">
      <formula>J2="Cao"</formula>
    </cfRule>
  </conditionalFormatting>
  <conditionalFormatting sqref="J2:J222">
    <cfRule type="expression" dxfId="7" priority="16">
      <formula>J2="Trung bình"</formula>
    </cfRule>
  </conditionalFormatting>
  <conditionalFormatting sqref="J2:J222">
    <cfRule type="expression" dxfId="15" priority="17">
      <formula>J2="Thấp"</formula>
    </cfRule>
  </conditionalFormatting>
  <dataValidations>
    <dataValidation type="list" allowBlank="1" sqref="C2:C721">
      <formula1>"Epic,Story,Task,Bug,Spike"</formula1>
    </dataValidation>
    <dataValidation type="list" allowBlank="1" sqref="O2:O721">
      <formula1>"Backlog,Chờ phân tích,Đang phân tích,Sẵn sàng phát triển,Đang phát triển,Review code,Chờ QA,Đang kiểm thử,Chờ UAT,Đang UAT,Bị chặn,Hoàn thành,Hủy"</formula1>
    </dataValidation>
    <dataValidation type="list" allowBlank="1" sqref="I2:I721">
      <formula1>"Android,Android,iOS,Backend,Backend,Hạ tầng,Backend,Web,Backend,Web,Android,iOS,Dữ liệu,Tài liệu,Hạ tầng,Tài liệu,Tài liệu,Backend,Tài liệu,Store,Tài liệu,Web,App,Web,Web,Android,iOS,Web,Backend,Web,Dịch vụ ngoài,Web,PDF,iOS"</formula1>
    </dataValidation>
    <dataValidation type="list" allowBlank="1" sqref="V2:V721">
      <formula1>"Chưa kiểm thử,Đang kiểm thử,Đạt,Không đạt,Không áp dụng"</formula1>
    </dataValidation>
    <dataValidation type="list" allowBlank="1" sqref="J2:J721">
      <formula1>"Cao nhất,Cao,Trung bình,Thấp"</formula1>
    </dataValidation>
    <dataValidation type="list" allowBlank="1" sqref="W2:W721">
      <formula1>"Chưa UAT,Đang UAT,Đạt,Không đạt,Hoãn,Không áp dụng"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0.0"/>
    <col customWidth="1" min="3" max="3" width="24.0"/>
    <col customWidth="1" min="4" max="4" width="22.0"/>
    <col customWidth="1" min="5" max="5" width="25.0"/>
    <col customWidth="1" min="6" max="6" width="20.0"/>
    <col customWidth="1" min="7" max="7" width="22.0"/>
    <col customWidth="1" min="8" max="8" width="24.0"/>
    <col customWidth="1" min="9" max="9" width="20.0"/>
    <col customWidth="1" min="10" max="10" width="18.0"/>
    <col customWidth="1" min="11" max="11" width="34.0"/>
    <col customWidth="1" min="12" max="26" width="8.63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8</v>
      </c>
      <c r="H3" s="3" t="s">
        <v>9</v>
      </c>
      <c r="I3" s="3" t="s">
        <v>10</v>
      </c>
      <c r="J3" s="3" t="s">
        <v>12</v>
      </c>
      <c r="K3" s="4" t="s">
        <v>14</v>
      </c>
    </row>
    <row r="4" ht="45.75" customHeight="1">
      <c r="A4" s="5" t="s">
        <v>15</v>
      </c>
      <c r="B4" s="6" t="s">
        <v>16</v>
      </c>
      <c r="C4" s="6" t="s">
        <v>16</v>
      </c>
      <c r="D4" s="6" t="s">
        <v>16</v>
      </c>
      <c r="E4" s="6" t="s">
        <v>16</v>
      </c>
      <c r="F4" s="6" t="s">
        <v>16</v>
      </c>
      <c r="G4" s="6" t="s">
        <v>16</v>
      </c>
      <c r="H4" s="6" t="s">
        <v>16</v>
      </c>
      <c r="I4" s="6" t="s">
        <v>16</v>
      </c>
      <c r="J4" s="6" t="s">
        <v>17</v>
      </c>
      <c r="K4" s="7" t="s">
        <v>18</v>
      </c>
    </row>
    <row r="5" ht="45.75" customHeight="1">
      <c r="A5" s="8" t="s">
        <v>19</v>
      </c>
      <c r="B5" s="9" t="s">
        <v>20</v>
      </c>
      <c r="C5" s="9" t="s">
        <v>21</v>
      </c>
      <c r="D5" s="9" t="s">
        <v>20</v>
      </c>
      <c r="E5" s="9" t="s">
        <v>20</v>
      </c>
      <c r="F5" s="9" t="s">
        <v>20</v>
      </c>
      <c r="G5" s="9" t="s">
        <v>20</v>
      </c>
      <c r="H5" s="9" t="s">
        <v>20</v>
      </c>
      <c r="I5" s="9" t="s">
        <v>22</v>
      </c>
      <c r="J5" s="9" t="s">
        <v>20</v>
      </c>
      <c r="K5" s="11" t="s">
        <v>24</v>
      </c>
    </row>
    <row r="6" ht="45.75" customHeight="1">
      <c r="A6" s="8" t="s">
        <v>26</v>
      </c>
      <c r="B6" s="9" t="s">
        <v>27</v>
      </c>
      <c r="C6" s="9" t="s">
        <v>28</v>
      </c>
      <c r="D6" s="9" t="s">
        <v>29</v>
      </c>
      <c r="E6" s="9" t="s">
        <v>31</v>
      </c>
      <c r="F6" s="9" t="s">
        <v>27</v>
      </c>
      <c r="G6" s="9" t="s">
        <v>33</v>
      </c>
      <c r="H6" s="9" t="s">
        <v>27</v>
      </c>
      <c r="I6" s="9" t="s">
        <v>22</v>
      </c>
      <c r="J6" s="9" t="s">
        <v>35</v>
      </c>
      <c r="K6" s="11" t="s">
        <v>36</v>
      </c>
    </row>
    <row r="7" ht="45.75" customHeight="1">
      <c r="A7" s="8" t="s">
        <v>39</v>
      </c>
      <c r="B7" s="9" t="s">
        <v>40</v>
      </c>
      <c r="C7" s="9" t="s">
        <v>27</v>
      </c>
      <c r="D7" s="9" t="s">
        <v>43</v>
      </c>
      <c r="E7" s="9" t="s">
        <v>44</v>
      </c>
      <c r="F7" s="9" t="s">
        <v>47</v>
      </c>
      <c r="G7" s="9" t="s">
        <v>48</v>
      </c>
      <c r="H7" s="9" t="s">
        <v>50</v>
      </c>
      <c r="I7" s="9" t="s">
        <v>51</v>
      </c>
      <c r="J7" s="9" t="s">
        <v>52</v>
      </c>
      <c r="K7" s="11" t="s">
        <v>54</v>
      </c>
    </row>
    <row r="8" ht="45.75" customHeight="1">
      <c r="A8" s="8" t="s">
        <v>56</v>
      </c>
      <c r="B8" s="9" t="s">
        <v>57</v>
      </c>
      <c r="C8" s="9" t="s">
        <v>59</v>
      </c>
      <c r="D8" s="9" t="s">
        <v>60</v>
      </c>
      <c r="E8" s="9" t="s">
        <v>61</v>
      </c>
      <c r="F8" s="9" t="s">
        <v>62</v>
      </c>
      <c r="G8" s="9" t="s">
        <v>62</v>
      </c>
      <c r="H8" s="9" t="s">
        <v>62</v>
      </c>
      <c r="I8" s="9" t="s">
        <v>64</v>
      </c>
      <c r="J8" s="9" t="s">
        <v>62</v>
      </c>
      <c r="K8" s="11" t="s">
        <v>66</v>
      </c>
    </row>
    <row r="9" ht="45.75" customHeight="1">
      <c r="A9" s="8" t="s">
        <v>68</v>
      </c>
      <c r="B9" s="9" t="s">
        <v>70</v>
      </c>
      <c r="C9" s="9" t="s">
        <v>72</v>
      </c>
      <c r="D9" s="9" t="s">
        <v>73</v>
      </c>
      <c r="E9" s="9" t="s">
        <v>75</v>
      </c>
      <c r="F9" s="9" t="s">
        <v>77</v>
      </c>
      <c r="G9" s="9" t="s">
        <v>77</v>
      </c>
      <c r="H9" s="9" t="s">
        <v>78</v>
      </c>
      <c r="I9" s="9" t="s">
        <v>79</v>
      </c>
      <c r="J9" s="9" t="s">
        <v>62</v>
      </c>
      <c r="K9" s="11" t="s">
        <v>82</v>
      </c>
    </row>
    <row r="10" ht="45.75" customHeight="1">
      <c r="A10" s="8" t="s">
        <v>83</v>
      </c>
      <c r="B10" s="9" t="s">
        <v>84</v>
      </c>
      <c r="C10" s="9" t="s">
        <v>72</v>
      </c>
      <c r="D10" s="9" t="s">
        <v>86</v>
      </c>
      <c r="E10" s="9" t="s">
        <v>87</v>
      </c>
      <c r="F10" s="9" t="s">
        <v>77</v>
      </c>
      <c r="G10" s="9" t="s">
        <v>77</v>
      </c>
      <c r="H10" s="9" t="s">
        <v>84</v>
      </c>
      <c r="I10" s="9" t="s">
        <v>79</v>
      </c>
      <c r="J10" s="9" t="s">
        <v>62</v>
      </c>
      <c r="K10" s="11" t="s">
        <v>89</v>
      </c>
    </row>
    <row r="11" ht="45.75" customHeight="1">
      <c r="A11" s="8" t="s">
        <v>91</v>
      </c>
      <c r="B11" s="9" t="s">
        <v>94</v>
      </c>
      <c r="C11" s="9" t="s">
        <v>95</v>
      </c>
      <c r="D11" s="9" t="s">
        <v>96</v>
      </c>
      <c r="E11" s="9" t="s">
        <v>98</v>
      </c>
      <c r="F11" s="9" t="s">
        <v>62</v>
      </c>
      <c r="G11" s="9" t="s">
        <v>62</v>
      </c>
      <c r="H11" s="9" t="s">
        <v>94</v>
      </c>
      <c r="I11" s="9" t="s">
        <v>102</v>
      </c>
      <c r="J11" s="9" t="s">
        <v>62</v>
      </c>
      <c r="K11" s="11" t="s">
        <v>103</v>
      </c>
    </row>
    <row r="12" ht="45.75" customHeight="1">
      <c r="A12" s="8" t="s">
        <v>105</v>
      </c>
      <c r="B12" s="9" t="s">
        <v>106</v>
      </c>
      <c r="C12" s="9" t="s">
        <v>95</v>
      </c>
      <c r="D12" s="9" t="s">
        <v>96</v>
      </c>
      <c r="E12" s="9" t="s">
        <v>98</v>
      </c>
      <c r="F12" s="9" t="s">
        <v>110</v>
      </c>
      <c r="G12" s="9" t="s">
        <v>111</v>
      </c>
      <c r="H12" s="9" t="s">
        <v>94</v>
      </c>
      <c r="I12" s="9" t="s">
        <v>114</v>
      </c>
      <c r="J12" s="9" t="s">
        <v>62</v>
      </c>
      <c r="K12" s="11" t="s">
        <v>116</v>
      </c>
    </row>
    <row r="13" ht="45.75" customHeight="1">
      <c r="A13" s="8" t="s">
        <v>117</v>
      </c>
      <c r="B13" s="9" t="s">
        <v>57</v>
      </c>
      <c r="C13" s="9" t="s">
        <v>95</v>
      </c>
      <c r="D13" s="9" t="s">
        <v>62</v>
      </c>
      <c r="E13" s="9" t="s">
        <v>121</v>
      </c>
      <c r="F13" s="9" t="s">
        <v>122</v>
      </c>
      <c r="G13" s="9" t="s">
        <v>62</v>
      </c>
      <c r="H13" s="9" t="s">
        <v>62</v>
      </c>
      <c r="I13" s="9" t="s">
        <v>6</v>
      </c>
      <c r="J13" s="9" t="s">
        <v>62</v>
      </c>
      <c r="K13" s="11" t="s">
        <v>126</v>
      </c>
    </row>
    <row r="14" ht="45.75" customHeight="1">
      <c r="A14" s="24" t="s">
        <v>127</v>
      </c>
      <c r="B14" s="25" t="s">
        <v>57</v>
      </c>
      <c r="C14" s="25" t="s">
        <v>95</v>
      </c>
      <c r="D14" s="25" t="s">
        <v>73</v>
      </c>
      <c r="E14" s="25" t="s">
        <v>132</v>
      </c>
      <c r="F14" s="25" t="s">
        <v>62</v>
      </c>
      <c r="G14" s="25" t="s">
        <v>62</v>
      </c>
      <c r="H14" s="25" t="s">
        <v>135</v>
      </c>
      <c r="I14" s="25" t="s">
        <v>102</v>
      </c>
      <c r="J14" s="25" t="s">
        <v>62</v>
      </c>
      <c r="K14" s="27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42.0"/>
    <col customWidth="1" min="4" max="4" width="28.0"/>
    <col customWidth="1" min="5" max="5" width="18.0"/>
    <col customWidth="1" min="6" max="6" width="16.0"/>
    <col customWidth="1" min="7" max="7" width="38.0"/>
    <col customWidth="1" min="8" max="8" width="28.0"/>
    <col customWidth="1" min="9" max="26" width="8.63"/>
  </cols>
  <sheetData>
    <row r="1">
      <c r="A1" s="1" t="s">
        <v>7</v>
      </c>
    </row>
    <row r="3">
      <c r="A3" s="10" t="s">
        <v>11</v>
      </c>
      <c r="B3" s="12" t="s">
        <v>23</v>
      </c>
      <c r="C3" s="12" t="s">
        <v>30</v>
      </c>
      <c r="D3" s="12" t="s">
        <v>34</v>
      </c>
      <c r="E3" s="12" t="s">
        <v>38</v>
      </c>
      <c r="F3" s="12" t="s">
        <v>41</v>
      </c>
      <c r="G3" s="12" t="s">
        <v>45</v>
      </c>
      <c r="H3" s="13" t="s">
        <v>14</v>
      </c>
    </row>
    <row r="4" ht="42.0" customHeight="1">
      <c r="A4" s="14" t="s">
        <v>55</v>
      </c>
      <c r="B4" s="15" t="s">
        <v>3</v>
      </c>
      <c r="C4" s="15" t="s">
        <v>65</v>
      </c>
      <c r="D4" s="15" t="s">
        <v>69</v>
      </c>
      <c r="E4" s="15" t="s">
        <v>74</v>
      </c>
      <c r="F4" s="15" t="s">
        <v>81</v>
      </c>
      <c r="G4" s="15" t="s">
        <v>85</v>
      </c>
      <c r="H4" s="16"/>
    </row>
    <row r="5" ht="42.0" customHeight="1">
      <c r="A5" s="17" t="s">
        <v>92</v>
      </c>
      <c r="B5" s="18" t="s">
        <v>3</v>
      </c>
      <c r="C5" s="18" t="s">
        <v>100</v>
      </c>
      <c r="D5" s="18" t="s">
        <v>56</v>
      </c>
      <c r="E5" s="18" t="s">
        <v>74</v>
      </c>
      <c r="F5" s="18" t="s">
        <v>108</v>
      </c>
      <c r="G5" s="18" t="s">
        <v>113</v>
      </c>
      <c r="H5" s="19"/>
    </row>
    <row r="6" ht="42.0" customHeight="1">
      <c r="A6" s="17" t="s">
        <v>120</v>
      </c>
      <c r="B6" s="18" t="s">
        <v>3</v>
      </c>
      <c r="C6" s="18" t="s">
        <v>125</v>
      </c>
      <c r="D6" s="18" t="s">
        <v>128</v>
      </c>
      <c r="E6" s="18" t="s">
        <v>74</v>
      </c>
      <c r="F6" s="18" t="s">
        <v>108</v>
      </c>
      <c r="G6" s="18" t="s">
        <v>133</v>
      </c>
      <c r="H6" s="19"/>
    </row>
    <row r="7" ht="42.0" customHeight="1">
      <c r="A7" s="17" t="s">
        <v>141</v>
      </c>
      <c r="B7" s="18" t="s">
        <v>3</v>
      </c>
      <c r="C7" s="18" t="s">
        <v>146</v>
      </c>
      <c r="D7" s="18" t="s">
        <v>148</v>
      </c>
      <c r="E7" s="18" t="s">
        <v>74</v>
      </c>
      <c r="F7" s="18" t="s">
        <v>108</v>
      </c>
      <c r="G7" s="18" t="s">
        <v>155</v>
      </c>
      <c r="H7" s="19"/>
    </row>
    <row r="8" ht="42.0" customHeight="1">
      <c r="A8" s="17" t="s">
        <v>158</v>
      </c>
      <c r="B8" s="18" t="s">
        <v>4</v>
      </c>
      <c r="C8" s="18" t="s">
        <v>160</v>
      </c>
      <c r="D8" s="18" t="s">
        <v>56</v>
      </c>
      <c r="E8" s="18" t="s">
        <v>164</v>
      </c>
      <c r="F8" s="18" t="s">
        <v>81</v>
      </c>
      <c r="G8" s="18" t="s">
        <v>167</v>
      </c>
      <c r="H8" s="19"/>
    </row>
    <row r="9" ht="42.0" customHeight="1">
      <c r="A9" s="17" t="s">
        <v>169</v>
      </c>
      <c r="B9" s="18" t="s">
        <v>4</v>
      </c>
      <c r="C9" s="18" t="s">
        <v>172</v>
      </c>
      <c r="D9" s="18" t="s">
        <v>26</v>
      </c>
      <c r="E9" s="18" t="s">
        <v>164</v>
      </c>
      <c r="F9" s="18" t="s">
        <v>108</v>
      </c>
      <c r="G9" s="18" t="s">
        <v>178</v>
      </c>
      <c r="H9" s="19"/>
    </row>
    <row r="10" ht="42.0" customHeight="1">
      <c r="A10" s="17" t="s">
        <v>179</v>
      </c>
      <c r="B10" s="18" t="s">
        <v>5</v>
      </c>
      <c r="C10" s="18" t="s">
        <v>182</v>
      </c>
      <c r="D10" s="18" t="s">
        <v>26</v>
      </c>
      <c r="E10" s="18" t="s">
        <v>164</v>
      </c>
      <c r="F10" s="18" t="s">
        <v>108</v>
      </c>
      <c r="G10" s="18" t="s">
        <v>187</v>
      </c>
      <c r="H10" s="19"/>
    </row>
    <row r="11" ht="42.0" customHeight="1">
      <c r="A11" s="17" t="s">
        <v>191</v>
      </c>
      <c r="B11" s="18" t="s">
        <v>5</v>
      </c>
      <c r="C11" s="18" t="s">
        <v>194</v>
      </c>
      <c r="D11" s="18" t="s">
        <v>195</v>
      </c>
      <c r="E11" s="18" t="s">
        <v>164</v>
      </c>
      <c r="F11" s="18" t="s">
        <v>108</v>
      </c>
      <c r="G11" s="18" t="s">
        <v>198</v>
      </c>
      <c r="H11" s="19"/>
    </row>
    <row r="12" ht="42.0" customHeight="1">
      <c r="A12" s="17" t="s">
        <v>201</v>
      </c>
      <c r="B12" s="18" t="s">
        <v>5</v>
      </c>
      <c r="C12" s="18" t="s">
        <v>203</v>
      </c>
      <c r="D12" s="18" t="s">
        <v>26</v>
      </c>
      <c r="E12" s="18" t="s">
        <v>164</v>
      </c>
      <c r="F12" s="18" t="s">
        <v>108</v>
      </c>
      <c r="G12" s="18" t="s">
        <v>205</v>
      </c>
      <c r="H12" s="19"/>
    </row>
    <row r="13" ht="42.0" customHeight="1">
      <c r="A13" s="17" t="s">
        <v>207</v>
      </c>
      <c r="B13" s="18" t="s">
        <v>5</v>
      </c>
      <c r="C13" s="18" t="s">
        <v>209</v>
      </c>
      <c r="D13" s="18" t="s">
        <v>26</v>
      </c>
      <c r="E13" s="18" t="s">
        <v>164</v>
      </c>
      <c r="F13" s="18" t="s">
        <v>108</v>
      </c>
      <c r="G13" s="18" t="s">
        <v>211</v>
      </c>
      <c r="H13" s="19"/>
    </row>
    <row r="14" ht="42.0" customHeight="1">
      <c r="A14" s="17" t="s">
        <v>212</v>
      </c>
      <c r="B14" s="18" t="s">
        <v>5</v>
      </c>
      <c r="C14" s="18" t="s">
        <v>216</v>
      </c>
      <c r="D14" s="18" t="s">
        <v>217</v>
      </c>
      <c r="E14" s="18" t="s">
        <v>149</v>
      </c>
      <c r="F14" s="18" t="s">
        <v>218</v>
      </c>
      <c r="G14" s="18" t="s">
        <v>219</v>
      </c>
      <c r="H14" s="19" t="s">
        <v>220</v>
      </c>
    </row>
    <row r="15" ht="42.0" customHeight="1">
      <c r="A15" s="17" t="s">
        <v>221</v>
      </c>
      <c r="B15" s="18" t="s">
        <v>222</v>
      </c>
      <c r="C15" s="18" t="s">
        <v>225</v>
      </c>
      <c r="D15" s="18" t="s">
        <v>39</v>
      </c>
      <c r="E15" s="18" t="s">
        <v>149</v>
      </c>
      <c r="F15" s="18" t="s">
        <v>81</v>
      </c>
      <c r="G15" s="18" t="s">
        <v>227</v>
      </c>
      <c r="H15" s="19"/>
    </row>
    <row r="16" ht="42.0" customHeight="1">
      <c r="A16" s="17" t="s">
        <v>229</v>
      </c>
      <c r="B16" s="18" t="s">
        <v>222</v>
      </c>
      <c r="C16" s="18" t="s">
        <v>231</v>
      </c>
      <c r="D16" s="18" t="s">
        <v>39</v>
      </c>
      <c r="E16" s="18" t="s">
        <v>149</v>
      </c>
      <c r="F16" s="18" t="s">
        <v>108</v>
      </c>
      <c r="G16" s="18" t="s">
        <v>234</v>
      </c>
      <c r="H16" s="19"/>
    </row>
    <row r="17" ht="42.0" customHeight="1">
      <c r="A17" s="17" t="s">
        <v>236</v>
      </c>
      <c r="B17" s="18" t="s">
        <v>239</v>
      </c>
      <c r="C17" s="18" t="s">
        <v>240</v>
      </c>
      <c r="D17" s="18" t="s">
        <v>39</v>
      </c>
      <c r="E17" s="18" t="s">
        <v>149</v>
      </c>
      <c r="F17" s="18" t="s">
        <v>81</v>
      </c>
      <c r="G17" s="18" t="s">
        <v>243</v>
      </c>
      <c r="H17" s="19"/>
    </row>
    <row r="18" ht="42.0" customHeight="1">
      <c r="A18" s="17" t="s">
        <v>247</v>
      </c>
      <c r="B18" s="18" t="s">
        <v>250</v>
      </c>
      <c r="C18" s="18" t="s">
        <v>251</v>
      </c>
      <c r="D18" s="18" t="s">
        <v>39</v>
      </c>
      <c r="E18" s="18" t="s">
        <v>170</v>
      </c>
      <c r="F18" s="18" t="s">
        <v>81</v>
      </c>
      <c r="G18" s="18" t="s">
        <v>257</v>
      </c>
      <c r="H18" s="19"/>
    </row>
    <row r="19" ht="42.0" customHeight="1">
      <c r="A19" s="17" t="s">
        <v>259</v>
      </c>
      <c r="B19" s="18" t="s">
        <v>260</v>
      </c>
      <c r="C19" s="18" t="s">
        <v>261</v>
      </c>
      <c r="D19" s="18" t="s">
        <v>39</v>
      </c>
      <c r="E19" s="18" t="s">
        <v>170</v>
      </c>
      <c r="F19" s="18" t="s">
        <v>81</v>
      </c>
      <c r="G19" s="18" t="s">
        <v>262</v>
      </c>
      <c r="H19" s="19"/>
    </row>
    <row r="20" ht="42.0" customHeight="1">
      <c r="A20" s="17" t="s">
        <v>263</v>
      </c>
      <c r="B20" s="18" t="s">
        <v>6</v>
      </c>
      <c r="C20" s="18" t="s">
        <v>264</v>
      </c>
      <c r="D20" s="18" t="s">
        <v>117</v>
      </c>
      <c r="E20" s="18" t="s">
        <v>170</v>
      </c>
      <c r="F20" s="18" t="s">
        <v>81</v>
      </c>
      <c r="G20" s="18" t="s">
        <v>265</v>
      </c>
      <c r="H20" s="19"/>
    </row>
    <row r="21" ht="42.0" customHeight="1">
      <c r="A21" s="17" t="s">
        <v>267</v>
      </c>
      <c r="B21" s="18" t="s">
        <v>6</v>
      </c>
      <c r="C21" s="18" t="s">
        <v>268</v>
      </c>
      <c r="D21" s="18" t="s">
        <v>270</v>
      </c>
      <c r="E21" s="18" t="s">
        <v>170</v>
      </c>
      <c r="F21" s="18" t="s">
        <v>108</v>
      </c>
      <c r="G21" s="18" t="s">
        <v>272</v>
      </c>
      <c r="H21" s="19"/>
    </row>
    <row r="22" ht="42.0" customHeight="1">
      <c r="A22" s="17" t="s">
        <v>273</v>
      </c>
      <c r="B22" s="18" t="s">
        <v>6</v>
      </c>
      <c r="C22" s="18" t="s">
        <v>274</v>
      </c>
      <c r="D22" s="18" t="s">
        <v>276</v>
      </c>
      <c r="E22" s="18" t="s">
        <v>170</v>
      </c>
      <c r="F22" s="18" t="s">
        <v>108</v>
      </c>
      <c r="G22" s="18" t="s">
        <v>278</v>
      </c>
      <c r="H22" s="19"/>
    </row>
    <row r="23" ht="42.0" customHeight="1">
      <c r="A23" s="17" t="s">
        <v>279</v>
      </c>
      <c r="B23" s="18" t="s">
        <v>6</v>
      </c>
      <c r="C23" s="18" t="s">
        <v>280</v>
      </c>
      <c r="D23" s="18" t="s">
        <v>281</v>
      </c>
      <c r="E23" s="18" t="s">
        <v>170</v>
      </c>
      <c r="F23" s="18" t="s">
        <v>108</v>
      </c>
      <c r="G23" s="18" t="s">
        <v>282</v>
      </c>
      <c r="H23" s="19"/>
    </row>
    <row r="24" ht="42.0" customHeight="1">
      <c r="A24" s="17" t="s">
        <v>283</v>
      </c>
      <c r="B24" s="18" t="s">
        <v>8</v>
      </c>
      <c r="C24" s="18" t="s">
        <v>285</v>
      </c>
      <c r="D24" s="18" t="s">
        <v>286</v>
      </c>
      <c r="E24" s="18" t="s">
        <v>170</v>
      </c>
      <c r="F24" s="18" t="s">
        <v>81</v>
      </c>
      <c r="G24" s="18" t="s">
        <v>288</v>
      </c>
      <c r="H24" s="19"/>
    </row>
    <row r="25" ht="42.0" customHeight="1">
      <c r="A25" s="17" t="s">
        <v>290</v>
      </c>
      <c r="B25" s="18" t="s">
        <v>8</v>
      </c>
      <c r="C25" s="18" t="s">
        <v>291</v>
      </c>
      <c r="D25" s="18" t="s">
        <v>292</v>
      </c>
      <c r="E25" s="18" t="s">
        <v>170</v>
      </c>
      <c r="F25" s="18" t="s">
        <v>108</v>
      </c>
      <c r="G25" s="18" t="s">
        <v>294</v>
      </c>
      <c r="H25" s="19"/>
    </row>
    <row r="26" ht="42.0" customHeight="1">
      <c r="A26" s="17" t="s">
        <v>296</v>
      </c>
      <c r="B26" s="18" t="s">
        <v>8</v>
      </c>
      <c r="C26" s="18" t="s">
        <v>297</v>
      </c>
      <c r="D26" s="18" t="s">
        <v>26</v>
      </c>
      <c r="E26" s="18" t="s">
        <v>170</v>
      </c>
      <c r="F26" s="18" t="s">
        <v>108</v>
      </c>
      <c r="G26" s="18" t="s">
        <v>298</v>
      </c>
      <c r="H26" s="19"/>
    </row>
    <row r="27" ht="42.0" customHeight="1">
      <c r="A27" s="17" t="s">
        <v>299</v>
      </c>
      <c r="B27" s="18" t="s">
        <v>8</v>
      </c>
      <c r="C27" s="18" t="s">
        <v>300</v>
      </c>
      <c r="D27" s="18" t="s">
        <v>217</v>
      </c>
      <c r="E27" s="18" t="s">
        <v>170</v>
      </c>
      <c r="F27" s="18" t="s">
        <v>81</v>
      </c>
      <c r="G27" s="18" t="s">
        <v>302</v>
      </c>
      <c r="H27" s="19"/>
    </row>
    <row r="28" ht="42.0" customHeight="1">
      <c r="A28" s="17" t="s">
        <v>304</v>
      </c>
      <c r="B28" s="18" t="s">
        <v>306</v>
      </c>
      <c r="C28" s="18" t="s">
        <v>307</v>
      </c>
      <c r="D28" s="18" t="s">
        <v>308</v>
      </c>
      <c r="E28" s="18" t="s">
        <v>309</v>
      </c>
      <c r="F28" s="18" t="s">
        <v>81</v>
      </c>
      <c r="G28" s="18" t="s">
        <v>310</v>
      </c>
      <c r="H28" s="19"/>
    </row>
    <row r="29" ht="42.0" customHeight="1">
      <c r="A29" s="17" t="s">
        <v>313</v>
      </c>
      <c r="B29" s="18" t="s">
        <v>9</v>
      </c>
      <c r="C29" s="18" t="s">
        <v>314</v>
      </c>
      <c r="D29" s="18" t="s">
        <v>26</v>
      </c>
      <c r="E29" s="18" t="s">
        <v>181</v>
      </c>
      <c r="F29" s="18" t="s">
        <v>81</v>
      </c>
      <c r="G29" s="18" t="s">
        <v>315</v>
      </c>
      <c r="H29" s="19"/>
    </row>
    <row r="30" ht="42.0" customHeight="1">
      <c r="A30" s="17" t="s">
        <v>316</v>
      </c>
      <c r="B30" s="18" t="s">
        <v>9</v>
      </c>
      <c r="C30" s="18" t="s">
        <v>317</v>
      </c>
      <c r="D30" s="18" t="s">
        <v>26</v>
      </c>
      <c r="E30" s="18" t="s">
        <v>181</v>
      </c>
      <c r="F30" s="18" t="s">
        <v>108</v>
      </c>
      <c r="G30" s="18" t="s">
        <v>318</v>
      </c>
      <c r="H30" s="19"/>
    </row>
    <row r="31" ht="42.0" customHeight="1">
      <c r="A31" s="17" t="s">
        <v>320</v>
      </c>
      <c r="B31" s="18" t="s">
        <v>9</v>
      </c>
      <c r="C31" s="18" t="s">
        <v>322</v>
      </c>
      <c r="D31" s="18" t="s">
        <v>26</v>
      </c>
      <c r="E31" s="18" t="s">
        <v>181</v>
      </c>
      <c r="F31" s="18" t="s">
        <v>108</v>
      </c>
      <c r="G31" s="18" t="s">
        <v>326</v>
      </c>
      <c r="H31" s="19"/>
    </row>
    <row r="32" ht="42.0" customHeight="1">
      <c r="A32" s="17" t="s">
        <v>328</v>
      </c>
      <c r="B32" s="18" t="s">
        <v>9</v>
      </c>
      <c r="C32" s="18" t="s">
        <v>329</v>
      </c>
      <c r="D32" s="18" t="s">
        <v>330</v>
      </c>
      <c r="E32" s="18" t="s">
        <v>181</v>
      </c>
      <c r="F32" s="18" t="s">
        <v>81</v>
      </c>
      <c r="G32" s="18" t="s">
        <v>333</v>
      </c>
      <c r="H32" s="19"/>
    </row>
    <row r="33" ht="42.0" customHeight="1">
      <c r="A33" s="17" t="s">
        <v>335</v>
      </c>
      <c r="B33" s="18" t="s">
        <v>336</v>
      </c>
      <c r="C33" s="18" t="s">
        <v>337</v>
      </c>
      <c r="D33" s="18" t="s">
        <v>339</v>
      </c>
      <c r="E33" s="18" t="s">
        <v>184</v>
      </c>
      <c r="F33" s="18" t="s">
        <v>108</v>
      </c>
      <c r="G33" s="18" t="s">
        <v>346</v>
      </c>
      <c r="H33" s="19"/>
    </row>
    <row r="34" ht="42.0" customHeight="1">
      <c r="A34" s="17" t="s">
        <v>352</v>
      </c>
      <c r="B34" s="18" t="s">
        <v>336</v>
      </c>
      <c r="C34" s="18" t="s">
        <v>360</v>
      </c>
      <c r="D34" s="18" t="s">
        <v>339</v>
      </c>
      <c r="E34" s="18" t="s">
        <v>184</v>
      </c>
      <c r="F34" s="18" t="s">
        <v>108</v>
      </c>
      <c r="G34" s="18" t="s">
        <v>377</v>
      </c>
      <c r="H34" s="19"/>
    </row>
    <row r="35" ht="42.0" customHeight="1">
      <c r="A35" s="17" t="s">
        <v>385</v>
      </c>
      <c r="B35" s="18" t="s">
        <v>389</v>
      </c>
      <c r="C35" s="18" t="s">
        <v>394</v>
      </c>
      <c r="D35" s="18" t="s">
        <v>398</v>
      </c>
      <c r="E35" s="18" t="s">
        <v>149</v>
      </c>
      <c r="F35" s="18" t="s">
        <v>108</v>
      </c>
      <c r="G35" s="18" t="s">
        <v>410</v>
      </c>
      <c r="H35" s="19"/>
    </row>
    <row r="36" ht="42.0" customHeight="1">
      <c r="A36" s="17" t="s">
        <v>417</v>
      </c>
      <c r="B36" s="18" t="s">
        <v>107</v>
      </c>
      <c r="C36" s="18" t="s">
        <v>425</v>
      </c>
      <c r="D36" s="18" t="s">
        <v>429</v>
      </c>
      <c r="E36" s="18" t="s">
        <v>434</v>
      </c>
      <c r="F36" s="18" t="s">
        <v>81</v>
      </c>
      <c r="G36" s="18" t="s">
        <v>441</v>
      </c>
      <c r="H36" s="19"/>
    </row>
    <row r="37" ht="42.0" customHeight="1">
      <c r="A37" s="46" t="s">
        <v>443</v>
      </c>
      <c r="B37" s="47" t="s">
        <v>446</v>
      </c>
      <c r="C37" s="47" t="s">
        <v>448</v>
      </c>
      <c r="D37" s="47" t="s">
        <v>398</v>
      </c>
      <c r="E37" s="47" t="s">
        <v>452</v>
      </c>
      <c r="F37" s="47" t="s">
        <v>108</v>
      </c>
      <c r="G37" s="47" t="s">
        <v>453</v>
      </c>
      <c r="H37" s="48"/>
    </row>
    <row r="38" ht="15.75" customHeight="1">
      <c r="F38" s="49"/>
    </row>
    <row r="39" ht="15.75" customHeight="1">
      <c r="F39" s="49"/>
    </row>
    <row r="40" ht="15.75" customHeight="1">
      <c r="F40" s="49"/>
    </row>
    <row r="41" ht="15.75" customHeight="1">
      <c r="F41" s="49"/>
    </row>
    <row r="42" ht="15.75" customHeight="1">
      <c r="F42" s="49"/>
    </row>
    <row r="43" ht="15.75" customHeight="1">
      <c r="F43" s="49"/>
    </row>
    <row r="44" ht="15.75" customHeight="1">
      <c r="F44" s="49"/>
    </row>
    <row r="45" ht="15.75" customHeight="1">
      <c r="F45" s="49"/>
    </row>
    <row r="46" ht="15.75" customHeight="1">
      <c r="F46" s="49"/>
    </row>
    <row r="47" ht="15.75" customHeight="1">
      <c r="F47" s="49"/>
    </row>
    <row r="48" ht="15.75" customHeight="1">
      <c r="F48" s="49"/>
    </row>
    <row r="49" ht="15.75" customHeight="1">
      <c r="F49" s="49"/>
    </row>
    <row r="50" ht="15.75" customHeight="1">
      <c r="F50" s="49"/>
    </row>
    <row r="51" ht="15.75" customHeight="1">
      <c r="F51" s="49"/>
    </row>
    <row r="52" ht="15.75" customHeight="1">
      <c r="F52" s="49"/>
    </row>
    <row r="53" ht="15.75" customHeight="1">
      <c r="F53" s="49"/>
    </row>
    <row r="54" ht="15.75" customHeight="1">
      <c r="F54" s="49"/>
    </row>
    <row r="55" ht="15.75" customHeight="1">
      <c r="F55" s="49"/>
    </row>
    <row r="56" ht="15.75" customHeight="1">
      <c r="F56" s="49"/>
    </row>
    <row r="57" ht="15.75" customHeight="1">
      <c r="F57" s="49"/>
    </row>
    <row r="58" ht="15.75" customHeight="1">
      <c r="F58" s="49"/>
    </row>
    <row r="59" ht="15.75" customHeight="1">
      <c r="F59" s="49"/>
    </row>
    <row r="60" ht="15.75" customHeight="1">
      <c r="F60" s="49"/>
    </row>
    <row r="61" ht="15.75" customHeight="1">
      <c r="F61" s="49"/>
    </row>
    <row r="62" ht="15.75" customHeight="1">
      <c r="F62" s="49"/>
    </row>
    <row r="63" ht="15.75" customHeight="1">
      <c r="F63" s="49"/>
    </row>
    <row r="64" ht="15.75" customHeight="1">
      <c r="F64" s="49"/>
    </row>
    <row r="65" ht="15.75" customHeight="1">
      <c r="F65" s="49"/>
    </row>
    <row r="66" ht="15.75" customHeight="1">
      <c r="F66" s="49"/>
    </row>
    <row r="67" ht="15.75" customHeight="1">
      <c r="F67" s="49"/>
    </row>
    <row r="68" ht="15.75" customHeight="1">
      <c r="F68" s="49"/>
    </row>
    <row r="69" ht="15.75" customHeight="1">
      <c r="F69" s="49"/>
    </row>
    <row r="70" ht="15.75" customHeight="1">
      <c r="F70" s="49"/>
    </row>
    <row r="71" ht="15.75" customHeight="1">
      <c r="F71" s="49"/>
    </row>
    <row r="72" ht="15.75" customHeight="1">
      <c r="F72" s="49"/>
    </row>
    <row r="73" ht="15.75" customHeight="1">
      <c r="F73" s="49"/>
    </row>
    <row r="74" ht="15.75" customHeight="1">
      <c r="F74" s="49"/>
    </row>
    <row r="75" ht="15.75" customHeight="1">
      <c r="F75" s="49"/>
    </row>
    <row r="76" ht="15.75" customHeight="1">
      <c r="F76" s="49"/>
    </row>
    <row r="77" ht="15.75" customHeight="1">
      <c r="F77" s="49"/>
    </row>
    <row r="78" ht="15.75" customHeight="1">
      <c r="F78" s="49"/>
    </row>
    <row r="79" ht="15.75" customHeight="1">
      <c r="F79" s="49"/>
    </row>
    <row r="80" ht="15.75" customHeight="1">
      <c r="F80" s="49"/>
    </row>
    <row r="81" ht="15.75" customHeight="1">
      <c r="F81" s="49"/>
    </row>
    <row r="82" ht="15.75" customHeight="1">
      <c r="F82" s="49"/>
    </row>
    <row r="83" ht="15.75" customHeight="1">
      <c r="F83" s="49"/>
    </row>
    <row r="84" ht="15.75" customHeight="1">
      <c r="F84" s="49"/>
    </row>
    <row r="85" ht="15.75" customHeight="1">
      <c r="F85" s="49"/>
    </row>
    <row r="86" ht="15.75" customHeight="1">
      <c r="F86" s="49"/>
    </row>
    <row r="87" ht="15.75" customHeight="1">
      <c r="F87" s="49"/>
    </row>
    <row r="88" ht="15.75" customHeight="1">
      <c r="F88" s="49"/>
    </row>
    <row r="89" ht="15.75" customHeight="1">
      <c r="F89" s="49"/>
    </row>
    <row r="90" ht="15.75" customHeight="1">
      <c r="F90" s="49"/>
    </row>
    <row r="91" ht="15.75" customHeight="1">
      <c r="F91" s="49"/>
    </row>
    <row r="92" ht="15.75" customHeight="1">
      <c r="F92" s="49"/>
    </row>
    <row r="93" ht="15.75" customHeight="1">
      <c r="F93" s="49"/>
    </row>
    <row r="94" ht="15.75" customHeight="1">
      <c r="F94" s="49"/>
    </row>
    <row r="95" ht="15.75" customHeight="1">
      <c r="F95" s="49"/>
    </row>
    <row r="96" ht="15.75" customHeight="1">
      <c r="F96" s="49"/>
    </row>
    <row r="97" ht="15.75" customHeight="1">
      <c r="F97" s="49"/>
    </row>
    <row r="98" ht="15.75" customHeight="1">
      <c r="F98" s="49"/>
    </row>
    <row r="99" ht="15.75" customHeight="1">
      <c r="F99" s="49"/>
    </row>
    <row r="100" ht="15.75" customHeight="1">
      <c r="F100" s="49"/>
    </row>
    <row r="101" ht="15.75" customHeight="1">
      <c r="F101" s="49"/>
    </row>
    <row r="102" ht="15.75" customHeight="1">
      <c r="F102" s="49"/>
    </row>
    <row r="103" ht="15.75" customHeight="1">
      <c r="F103" s="49"/>
    </row>
    <row r="104" ht="15.75" customHeight="1">
      <c r="F104" s="49"/>
    </row>
    <row r="105" ht="15.75" customHeight="1">
      <c r="F105" s="49"/>
    </row>
    <row r="106" ht="15.75" customHeight="1">
      <c r="F106" s="49"/>
    </row>
    <row r="107" ht="15.75" customHeight="1">
      <c r="F107" s="49"/>
    </row>
    <row r="108" ht="15.75" customHeight="1">
      <c r="F108" s="49"/>
    </row>
    <row r="109" ht="15.75" customHeight="1">
      <c r="F109" s="49"/>
    </row>
    <row r="110" ht="15.75" customHeight="1">
      <c r="F110" s="49"/>
    </row>
    <row r="111" ht="15.75" customHeight="1">
      <c r="F111" s="49"/>
    </row>
    <row r="112" ht="15.75" customHeight="1">
      <c r="F112" s="49"/>
    </row>
    <row r="113" ht="15.75" customHeight="1">
      <c r="F113" s="49"/>
    </row>
    <row r="114" ht="15.75" customHeight="1">
      <c r="F114" s="49"/>
    </row>
    <row r="115" ht="15.75" customHeight="1">
      <c r="F115" s="49"/>
    </row>
    <row r="116" ht="15.75" customHeight="1">
      <c r="F116" s="49"/>
    </row>
    <row r="117" ht="15.75" customHeight="1">
      <c r="F117" s="49"/>
    </row>
    <row r="118" ht="15.75" customHeight="1">
      <c r="F118" s="49"/>
    </row>
    <row r="119" ht="15.75" customHeight="1">
      <c r="F119" s="49"/>
    </row>
    <row r="120" ht="15.75" customHeight="1">
      <c r="F120" s="49"/>
    </row>
    <row r="121" ht="15.75" customHeight="1">
      <c r="F121" s="49"/>
    </row>
    <row r="122" ht="15.75" customHeight="1">
      <c r="F122" s="49"/>
    </row>
    <row r="123" ht="15.75" customHeight="1">
      <c r="F123" s="49"/>
    </row>
    <row r="124" ht="15.75" customHeight="1">
      <c r="F124" s="49"/>
    </row>
    <row r="125" ht="15.75" customHeight="1">
      <c r="F125" s="49"/>
    </row>
    <row r="126" ht="15.75" customHeight="1">
      <c r="F126" s="49"/>
    </row>
    <row r="127" ht="15.75" customHeight="1">
      <c r="F127" s="49"/>
    </row>
    <row r="128" ht="15.75" customHeight="1">
      <c r="F128" s="49"/>
    </row>
    <row r="129" ht="15.75" customHeight="1">
      <c r="F129" s="49"/>
    </row>
    <row r="130" ht="15.75" customHeight="1">
      <c r="F130" s="49"/>
    </row>
    <row r="131" ht="15.75" customHeight="1">
      <c r="F131" s="49"/>
    </row>
    <row r="132" ht="15.75" customHeight="1">
      <c r="F132" s="49"/>
    </row>
    <row r="133" ht="15.75" customHeight="1">
      <c r="F133" s="49"/>
    </row>
    <row r="134" ht="15.75" customHeight="1">
      <c r="F134" s="49"/>
    </row>
    <row r="135" ht="15.75" customHeight="1">
      <c r="F135" s="49"/>
    </row>
    <row r="136" ht="15.75" customHeight="1">
      <c r="F136" s="49"/>
    </row>
    <row r="137" ht="15.75" customHeight="1">
      <c r="F137" s="49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F4:F37">
    <cfRule type="expression" dxfId="5" priority="1">
      <formula>F4="Đã chốt"</formula>
    </cfRule>
  </conditionalFormatting>
  <conditionalFormatting sqref="F4:F37">
    <cfRule type="expression" dxfId="6" priority="2">
      <formula>OR(F4="Chưa nhận",F4="Chưa chốt")</formula>
    </cfRule>
  </conditionalFormatting>
  <conditionalFormatting sqref="F4:F37">
    <cfRule type="expression" dxfId="7" priority="3">
      <formula>F4="Đang xác nhận"</formula>
    </cfRule>
  </conditionalFormatting>
  <dataValidations>
    <dataValidation type="list" allowBlank="1" sqref="F4:F137">
      <formula1>"Chưa nhận,Đã nhận,Chưa chốt,Đang xác nhận,Đã chốt,Đề xuất,Không áp dụng"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2.0"/>
    <col customWidth="1" min="3" max="3" width="40.0"/>
    <col customWidth="1" min="4" max="4" width="24.0"/>
    <col customWidth="1" min="5" max="5" width="30.0"/>
    <col customWidth="1" min="6" max="6" width="40.0"/>
    <col customWidth="1" min="7" max="26" width="8.63"/>
  </cols>
  <sheetData>
    <row r="1" ht="27.75" customHeight="1">
      <c r="A1" s="1" t="s">
        <v>334</v>
      </c>
    </row>
    <row r="3">
      <c r="A3" s="2" t="s">
        <v>41</v>
      </c>
      <c r="B3" s="4" t="s">
        <v>338</v>
      </c>
      <c r="C3" s="6"/>
      <c r="D3" s="2" t="s">
        <v>63</v>
      </c>
      <c r="E3" s="3" t="s">
        <v>342</v>
      </c>
      <c r="F3" s="4" t="s">
        <v>345</v>
      </c>
    </row>
    <row r="4">
      <c r="A4" s="8" t="s">
        <v>159</v>
      </c>
      <c r="B4" s="9" t="s">
        <v>349</v>
      </c>
      <c r="C4" s="9"/>
      <c r="D4" s="9" t="s">
        <v>147</v>
      </c>
      <c r="E4" s="9" t="s">
        <v>351</v>
      </c>
      <c r="F4" s="11" t="s">
        <v>354</v>
      </c>
    </row>
    <row r="5">
      <c r="A5" s="8" t="s">
        <v>192</v>
      </c>
      <c r="B5" s="9" t="s">
        <v>361</v>
      </c>
      <c r="C5" s="9"/>
      <c r="D5" s="9" t="s">
        <v>193</v>
      </c>
      <c r="E5" s="9" t="s">
        <v>366</v>
      </c>
      <c r="F5" s="11" t="s">
        <v>368</v>
      </c>
    </row>
    <row r="6">
      <c r="A6" s="8" t="s">
        <v>196</v>
      </c>
      <c r="B6" s="9" t="s">
        <v>374</v>
      </c>
      <c r="C6" s="9"/>
      <c r="D6" s="9" t="s">
        <v>232</v>
      </c>
      <c r="E6" s="9" t="s">
        <v>379</v>
      </c>
      <c r="F6" s="11" t="s">
        <v>383</v>
      </c>
    </row>
    <row r="7">
      <c r="A7" s="8" t="s">
        <v>200</v>
      </c>
      <c r="B7" s="9" t="s">
        <v>387</v>
      </c>
      <c r="C7" s="9"/>
      <c r="D7" s="9" t="s">
        <v>238</v>
      </c>
      <c r="E7" s="9" t="s">
        <v>392</v>
      </c>
      <c r="F7" s="11" t="s">
        <v>396</v>
      </c>
    </row>
    <row r="8">
      <c r="A8" s="8" t="s">
        <v>202</v>
      </c>
      <c r="B8" s="9" t="s">
        <v>401</v>
      </c>
      <c r="C8" s="9"/>
      <c r="D8" s="9"/>
      <c r="E8" s="9"/>
      <c r="F8" s="11"/>
    </row>
    <row r="9">
      <c r="A9" s="8" t="s">
        <v>204</v>
      </c>
      <c r="B9" s="9" t="s">
        <v>409</v>
      </c>
      <c r="C9" s="9"/>
      <c r="D9" s="9"/>
      <c r="E9" s="9"/>
      <c r="F9" s="11"/>
    </row>
    <row r="10">
      <c r="A10" s="8" t="s">
        <v>206</v>
      </c>
      <c r="B10" s="9" t="s">
        <v>420</v>
      </c>
      <c r="C10" s="9"/>
      <c r="D10" s="9"/>
      <c r="E10" s="9"/>
      <c r="F10" s="11"/>
    </row>
    <row r="11">
      <c r="A11" s="8" t="s">
        <v>208</v>
      </c>
      <c r="B11" s="9" t="s">
        <v>431</v>
      </c>
      <c r="C11" s="9"/>
      <c r="D11" s="9"/>
      <c r="E11" s="9"/>
      <c r="F11" s="11"/>
    </row>
    <row r="12">
      <c r="A12" s="8" t="s">
        <v>213</v>
      </c>
      <c r="B12" s="9" t="s">
        <v>440</v>
      </c>
      <c r="C12" s="9"/>
      <c r="D12" s="9"/>
      <c r="E12" s="9"/>
      <c r="F12" s="11"/>
    </row>
    <row r="13">
      <c r="A13" s="8" t="s">
        <v>223</v>
      </c>
      <c r="B13" s="9" t="s">
        <v>444</v>
      </c>
      <c r="C13" s="9"/>
      <c r="D13" s="9"/>
      <c r="E13" s="9"/>
      <c r="F13" s="11"/>
    </row>
    <row r="14">
      <c r="A14" s="8" t="s">
        <v>230</v>
      </c>
      <c r="B14" s="9" t="s">
        <v>447</v>
      </c>
      <c r="C14" s="9"/>
      <c r="D14" s="9"/>
      <c r="E14" s="9"/>
      <c r="F14" s="11"/>
    </row>
    <row r="15">
      <c r="A15" s="8" t="s">
        <v>235</v>
      </c>
      <c r="B15" s="9" t="s">
        <v>450</v>
      </c>
      <c r="C15" s="9"/>
      <c r="D15" s="9"/>
      <c r="E15" s="9"/>
      <c r="F15" s="11"/>
    </row>
    <row r="16">
      <c r="A16" s="8" t="s">
        <v>245</v>
      </c>
      <c r="B16" s="9" t="s">
        <v>454</v>
      </c>
      <c r="C16" s="9"/>
      <c r="D16" s="9"/>
      <c r="E16" s="9"/>
      <c r="F16" s="11"/>
    </row>
    <row r="17">
      <c r="A17" s="8"/>
      <c r="B17" s="9"/>
      <c r="C17" s="9"/>
      <c r="D17" s="9"/>
      <c r="E17" s="9"/>
      <c r="F17" s="11"/>
    </row>
    <row r="18">
      <c r="A18" s="8"/>
      <c r="B18" s="9"/>
      <c r="C18" s="9"/>
      <c r="D18" s="9"/>
      <c r="E18" s="9"/>
      <c r="F18" s="11"/>
    </row>
    <row r="19">
      <c r="A19" s="8"/>
      <c r="B19" s="9"/>
      <c r="C19" s="9"/>
      <c r="D19" s="9"/>
      <c r="E19" s="9"/>
      <c r="F19" s="11"/>
    </row>
    <row r="20">
      <c r="A20" s="2" t="s">
        <v>457</v>
      </c>
      <c r="B20" s="3" t="s">
        <v>458</v>
      </c>
      <c r="C20" s="3" t="s">
        <v>459</v>
      </c>
      <c r="D20" s="3" t="s">
        <v>460</v>
      </c>
      <c r="E20" s="4" t="s">
        <v>461</v>
      </c>
      <c r="F20" s="11"/>
    </row>
    <row r="21" ht="15.75" customHeight="1">
      <c r="A21" s="8" t="s">
        <v>159</v>
      </c>
      <c r="B21" s="9" t="s">
        <v>192</v>
      </c>
      <c r="C21" s="9" t="s">
        <v>462</v>
      </c>
      <c r="D21" s="9" t="s">
        <v>463</v>
      </c>
      <c r="E21" s="9" t="s">
        <v>465</v>
      </c>
      <c r="F21" s="11"/>
    </row>
    <row r="22" ht="15.75" customHeight="1">
      <c r="A22" s="8" t="s">
        <v>192</v>
      </c>
      <c r="B22" s="9" t="s">
        <v>196</v>
      </c>
      <c r="C22" s="9" t="s">
        <v>466</v>
      </c>
      <c r="D22" s="9" t="s">
        <v>355</v>
      </c>
      <c r="E22" s="9" t="s">
        <v>467</v>
      </c>
      <c r="F22" s="11"/>
    </row>
    <row r="23" ht="15.75" customHeight="1">
      <c r="A23" s="8" t="s">
        <v>196</v>
      </c>
      <c r="B23" s="9" t="s">
        <v>200</v>
      </c>
      <c r="C23" s="9" t="s">
        <v>470</v>
      </c>
      <c r="D23" s="9" t="s">
        <v>471</v>
      </c>
      <c r="E23" s="9" t="s">
        <v>473</v>
      </c>
      <c r="F23" s="11"/>
    </row>
    <row r="24" ht="15.75" customHeight="1">
      <c r="A24" s="8" t="s">
        <v>200</v>
      </c>
      <c r="B24" s="9" t="s">
        <v>202</v>
      </c>
      <c r="C24" s="9" t="s">
        <v>474</v>
      </c>
      <c r="D24" s="9" t="s">
        <v>475</v>
      </c>
      <c r="E24" s="9" t="s">
        <v>476</v>
      </c>
      <c r="F24" s="11"/>
    </row>
    <row r="25" ht="15.75" customHeight="1">
      <c r="A25" s="8" t="s">
        <v>202</v>
      </c>
      <c r="B25" s="9" t="s">
        <v>204</v>
      </c>
      <c r="C25" s="9" t="s">
        <v>479</v>
      </c>
      <c r="D25" s="9" t="s">
        <v>480</v>
      </c>
      <c r="E25" s="9" t="s">
        <v>482</v>
      </c>
      <c r="F25" s="11"/>
    </row>
    <row r="26" ht="15.75" customHeight="1">
      <c r="A26" s="8" t="s">
        <v>204</v>
      </c>
      <c r="B26" s="9" t="s">
        <v>206</v>
      </c>
      <c r="C26" s="9" t="s">
        <v>483</v>
      </c>
      <c r="D26" s="9" t="s">
        <v>484</v>
      </c>
      <c r="E26" s="9" t="s">
        <v>485</v>
      </c>
      <c r="F26" s="11"/>
    </row>
    <row r="27" ht="15.75" customHeight="1">
      <c r="A27" s="8" t="s">
        <v>206</v>
      </c>
      <c r="B27" s="9" t="s">
        <v>208</v>
      </c>
      <c r="C27" s="9" t="s">
        <v>486</v>
      </c>
      <c r="D27" s="9" t="s">
        <v>104</v>
      </c>
      <c r="E27" s="9" t="s">
        <v>487</v>
      </c>
      <c r="F27" s="11"/>
    </row>
    <row r="28" ht="15.75" customHeight="1">
      <c r="A28" s="8" t="s">
        <v>208</v>
      </c>
      <c r="B28" s="9" t="s">
        <v>213</v>
      </c>
      <c r="C28" s="9" t="s">
        <v>488</v>
      </c>
      <c r="D28" s="9" t="s">
        <v>489</v>
      </c>
      <c r="E28" s="9" t="s">
        <v>490</v>
      </c>
      <c r="F28" s="11"/>
    </row>
    <row r="29" ht="15.75" customHeight="1">
      <c r="A29" s="8" t="s">
        <v>213</v>
      </c>
      <c r="B29" s="9" t="s">
        <v>223</v>
      </c>
      <c r="C29" s="9" t="s">
        <v>491</v>
      </c>
      <c r="D29" s="9" t="s">
        <v>492</v>
      </c>
      <c r="E29" s="9" t="s">
        <v>493</v>
      </c>
      <c r="F29" s="11"/>
    </row>
    <row r="30" ht="15.75" customHeight="1">
      <c r="A30" s="8" t="s">
        <v>223</v>
      </c>
      <c r="B30" s="9" t="s">
        <v>235</v>
      </c>
      <c r="C30" s="9" t="s">
        <v>495</v>
      </c>
      <c r="D30" s="9" t="s">
        <v>496</v>
      </c>
      <c r="E30" s="9" t="s">
        <v>497</v>
      </c>
      <c r="F30" s="11"/>
    </row>
    <row r="31" ht="15.75" customHeight="1">
      <c r="A31" s="8" t="s">
        <v>498</v>
      </c>
      <c r="B31" s="9" t="s">
        <v>230</v>
      </c>
      <c r="C31" s="9" t="s">
        <v>499</v>
      </c>
      <c r="D31" s="9" t="s">
        <v>500</v>
      </c>
      <c r="E31" s="9" t="s">
        <v>502</v>
      </c>
      <c r="F31" s="11"/>
    </row>
    <row r="32" ht="15.75" customHeight="1">
      <c r="A32" s="8" t="s">
        <v>230</v>
      </c>
      <c r="B32" s="9" t="s">
        <v>505</v>
      </c>
      <c r="C32" s="9" t="s">
        <v>506</v>
      </c>
      <c r="D32" s="9" t="s">
        <v>507</v>
      </c>
      <c r="E32" s="9" t="s">
        <v>508</v>
      </c>
      <c r="F32" s="11"/>
    </row>
    <row r="33" ht="15.75" customHeight="1">
      <c r="A33" s="8"/>
      <c r="B33" s="9"/>
      <c r="C33" s="9"/>
      <c r="D33" s="9"/>
      <c r="E33" s="9"/>
      <c r="F33" s="11"/>
    </row>
    <row r="34" ht="15.75" customHeight="1">
      <c r="A34" s="8"/>
      <c r="B34" s="9"/>
      <c r="C34" s="9"/>
      <c r="D34" s="9"/>
      <c r="E34" s="9"/>
      <c r="F34" s="11"/>
    </row>
    <row r="35" ht="15.75" customHeight="1">
      <c r="A35" s="8"/>
      <c r="B35" s="9"/>
      <c r="C35" s="9"/>
      <c r="D35" s="9"/>
      <c r="E35" s="9"/>
      <c r="F35" s="11"/>
    </row>
    <row r="36" ht="15.75" customHeight="1">
      <c r="A36" s="8"/>
      <c r="B36" s="9"/>
      <c r="C36" s="9"/>
      <c r="D36" s="9"/>
      <c r="E36" s="9"/>
      <c r="F36" s="11"/>
    </row>
    <row r="37" ht="15.75" customHeight="1">
      <c r="A37" s="8"/>
      <c r="B37" s="9"/>
      <c r="C37" s="9"/>
      <c r="D37" s="9"/>
      <c r="E37" s="9"/>
      <c r="F37" s="11"/>
    </row>
    <row r="38" ht="15.75" customHeight="1">
      <c r="A38" s="8"/>
      <c r="B38" s="9"/>
      <c r="C38" s="9"/>
      <c r="D38" s="9"/>
      <c r="E38" s="9"/>
      <c r="F38" s="11"/>
    </row>
    <row r="39" ht="15.75" customHeight="1">
      <c r="A39" s="8"/>
      <c r="B39" s="9"/>
      <c r="C39" s="9"/>
      <c r="D39" s="9"/>
      <c r="E39" s="9"/>
      <c r="F39" s="11"/>
    </row>
    <row r="40" ht="15.75" customHeight="1">
      <c r="A40" s="24"/>
      <c r="B40" s="25"/>
      <c r="C40" s="25"/>
      <c r="D40" s="25"/>
      <c r="E40" s="25"/>
      <c r="F40" s="2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8.0"/>
    <col customWidth="1" min="3" max="3" width="24.0"/>
    <col customWidth="1" min="4" max="4" width="22.0"/>
    <col customWidth="1" min="5" max="5" width="42.0"/>
    <col customWidth="1" min="6" max="6" width="38.0"/>
    <col customWidth="1" min="7" max="26" width="8.63"/>
  </cols>
  <sheetData>
    <row r="1">
      <c r="A1" s="1" t="s">
        <v>340</v>
      </c>
    </row>
    <row r="3">
      <c r="A3" s="2" t="s">
        <v>341</v>
      </c>
      <c r="B3" s="3" t="s">
        <v>343</v>
      </c>
      <c r="C3" s="3" t="s">
        <v>344</v>
      </c>
      <c r="D3" s="3" t="s">
        <v>347</v>
      </c>
      <c r="E3" s="3" t="s">
        <v>348</v>
      </c>
      <c r="F3" s="4" t="s">
        <v>350</v>
      </c>
    </row>
    <row r="4" ht="48.0" customHeight="1">
      <c r="A4" s="8" t="s">
        <v>159</v>
      </c>
      <c r="B4" s="9" t="s">
        <v>353</v>
      </c>
      <c r="C4" s="9" t="s">
        <v>355</v>
      </c>
      <c r="D4" s="9" t="s">
        <v>357</v>
      </c>
      <c r="E4" s="9" t="s">
        <v>358</v>
      </c>
      <c r="F4" s="11" t="s">
        <v>359</v>
      </c>
    </row>
    <row r="5" ht="48.0" customHeight="1">
      <c r="A5" s="8" t="s">
        <v>41</v>
      </c>
      <c r="B5" s="9" t="s">
        <v>362</v>
      </c>
      <c r="C5" s="9" t="s">
        <v>363</v>
      </c>
      <c r="D5" s="9" t="s">
        <v>364</v>
      </c>
      <c r="E5" s="9" t="s">
        <v>365</v>
      </c>
      <c r="F5" s="11" t="s">
        <v>367</v>
      </c>
    </row>
    <row r="6" ht="48.0" customHeight="1">
      <c r="A6" s="8" t="s">
        <v>88</v>
      </c>
      <c r="B6" s="9" t="s">
        <v>369</v>
      </c>
      <c r="C6" s="9" t="s">
        <v>370</v>
      </c>
      <c r="D6" s="9" t="s">
        <v>372</v>
      </c>
      <c r="E6" s="9" t="s">
        <v>373</v>
      </c>
      <c r="F6" s="11" t="s">
        <v>375</v>
      </c>
    </row>
    <row r="7" ht="48.0" customHeight="1">
      <c r="A7" s="8" t="s">
        <v>93</v>
      </c>
      <c r="B7" s="9" t="s">
        <v>378</v>
      </c>
      <c r="C7" s="9" t="s">
        <v>381</v>
      </c>
      <c r="D7" s="9" t="s">
        <v>382</v>
      </c>
      <c r="E7" s="9" t="s">
        <v>384</v>
      </c>
      <c r="F7" s="11" t="s">
        <v>386</v>
      </c>
    </row>
    <row r="8" ht="48.0" customHeight="1">
      <c r="A8" s="8" t="s">
        <v>388</v>
      </c>
      <c r="B8" s="9" t="s">
        <v>390</v>
      </c>
      <c r="C8" s="9" t="s">
        <v>391</v>
      </c>
      <c r="D8" s="9" t="s">
        <v>382</v>
      </c>
      <c r="E8" s="9" t="s">
        <v>393</v>
      </c>
      <c r="F8" s="11" t="s">
        <v>395</v>
      </c>
    </row>
    <row r="9" ht="48.0" customHeight="1">
      <c r="A9" s="8" t="s">
        <v>397</v>
      </c>
      <c r="B9" s="9" t="s">
        <v>399</v>
      </c>
      <c r="C9" s="9" t="s">
        <v>400</v>
      </c>
      <c r="D9" s="9" t="s">
        <v>402</v>
      </c>
      <c r="E9" s="9" t="s">
        <v>403</v>
      </c>
      <c r="F9" s="11" t="s">
        <v>405</v>
      </c>
    </row>
    <row r="10" ht="48.0" customHeight="1">
      <c r="A10" s="8" t="s">
        <v>104</v>
      </c>
      <c r="B10" s="9" t="s">
        <v>406</v>
      </c>
      <c r="C10" s="9" t="s">
        <v>104</v>
      </c>
      <c r="D10" s="9" t="s">
        <v>408</v>
      </c>
      <c r="E10" s="9" t="s">
        <v>411</v>
      </c>
      <c r="F10" s="11" t="s">
        <v>412</v>
      </c>
    </row>
    <row r="11" ht="48.0" customHeight="1">
      <c r="A11" s="8" t="s">
        <v>107</v>
      </c>
      <c r="B11" s="9" t="s">
        <v>413</v>
      </c>
      <c r="C11" s="9" t="s">
        <v>414</v>
      </c>
      <c r="D11" s="9" t="s">
        <v>415</v>
      </c>
      <c r="E11" s="9" t="s">
        <v>416</v>
      </c>
      <c r="F11" s="11" t="s">
        <v>418</v>
      </c>
    </row>
    <row r="12" ht="48.0" customHeight="1">
      <c r="A12" s="8" t="s">
        <v>419</v>
      </c>
      <c r="B12" s="9" t="s">
        <v>421</v>
      </c>
      <c r="C12" s="9" t="s">
        <v>355</v>
      </c>
      <c r="D12" s="9" t="s">
        <v>422</v>
      </c>
      <c r="E12" s="9" t="s">
        <v>423</v>
      </c>
      <c r="F12" s="11" t="s">
        <v>424</v>
      </c>
    </row>
    <row r="13" ht="48.0" customHeight="1">
      <c r="A13" s="8" t="s">
        <v>426</v>
      </c>
      <c r="B13" s="9" t="s">
        <v>427</v>
      </c>
      <c r="C13" s="9" t="s">
        <v>428</v>
      </c>
      <c r="D13" s="9" t="s">
        <v>430</v>
      </c>
      <c r="E13" s="9" t="s">
        <v>432</v>
      </c>
      <c r="F13" s="11" t="s">
        <v>433</v>
      </c>
    </row>
    <row r="14" ht="48.0" customHeight="1">
      <c r="A14" s="24" t="s">
        <v>435</v>
      </c>
      <c r="B14" s="25" t="s">
        <v>436</v>
      </c>
      <c r="C14" s="25" t="s">
        <v>437</v>
      </c>
      <c r="D14" s="25" t="s">
        <v>438</v>
      </c>
      <c r="E14" s="25" t="s">
        <v>439</v>
      </c>
      <c r="F14" s="27" t="s">
        <v>442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